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EDA" sheetId="2" r:id="rId6"/>
    <sheet state="visible" name="Data (Vektor)" sheetId="3" r:id="rId7"/>
    <sheet state="visible" name="Cluster" sheetId="4" r:id="rId8"/>
  </sheets>
  <definedNames>
    <definedName name="ChatGPT">'Data (Vektor)'!$B:$B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Responder updated this value.</t>
      </text>
    </comment>
    <comment authorId="0" ref="E2">
      <text>
        <t xml:space="preserve">Responder updated this value.</t>
      </text>
    </comment>
    <comment authorId="0" ref="F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<sst xmlns="http://schemas.openxmlformats.org/spreadsheetml/2006/main" count="339" uniqueCount="265">
  <si>
    <t>Timestamp</t>
  </si>
  <si>
    <t>Nama Lengkap</t>
  </si>
  <si>
    <t>Program Studi</t>
  </si>
  <si>
    <t>Semester</t>
  </si>
  <si>
    <t>Seberapa sering kamu menggunakan ChatGPT untuk kegiatan akademik?</t>
  </si>
  <si>
    <t>Seberapa sering kamu menggunakan ChatGPT untuk kegiatan non-akademik?</t>
  </si>
  <si>
    <t>Seberapa sering kamu menggunakan ChatGPT untuk mencari informasi umum?</t>
  </si>
  <si>
    <t>Seberapa puas kamu dengan hasil yang diberikan ChatGPT?</t>
  </si>
  <si>
    <t xml:space="preserve">Seberapa sering kamu menggunakan Gemini untuk kegiatan akademik?  </t>
  </si>
  <si>
    <t>Seberapa sering kamu menggunakan Gemini untuk kegiatan non-akademik?</t>
  </si>
  <si>
    <t>Seberapa sering kamu menggunakan Gemini untuk mencari informasi umum?</t>
  </si>
  <si>
    <t>Seberapa puas kamu dengan hasil yang diberikan Gemini?</t>
  </si>
  <si>
    <t xml:space="preserve">Seberapa sering kamu menggunakan Claude untuk kegiatan akademik?  </t>
  </si>
  <si>
    <t>Seberapa sering kamu menggunakan Claude untuk kegiatan non-akademik?</t>
  </si>
  <si>
    <t>Seberapa sering kamu menggunakan Claude untuk mencari informasi umum?</t>
  </si>
  <si>
    <t>Seberapa puas kamu dengan hasil yang diberikan Claude?</t>
  </si>
  <si>
    <t>Email Address</t>
  </si>
  <si>
    <t>zidni a</t>
  </si>
  <si>
    <t>Pendidikan Ilmu Komputer</t>
  </si>
  <si>
    <t>Sem 2</t>
  </si>
  <si>
    <t>jitnisitni@gmail.com</t>
  </si>
  <si>
    <t>Lionel</t>
  </si>
  <si>
    <t>lionelshtg07@student.upi.edu</t>
  </si>
  <si>
    <t xml:space="preserve">Zahra Kinara Maulana </t>
  </si>
  <si>
    <t>kinara.zahra21@student.upi.edu</t>
  </si>
  <si>
    <t xml:space="preserve">Nazhwa </t>
  </si>
  <si>
    <t>nazhwaazahra@student.upi.edu</t>
  </si>
  <si>
    <t xml:space="preserve">Isnaeni hidayatul ashifa </t>
  </si>
  <si>
    <t>isnaenihidayatulashifa@student.upi.edu</t>
  </si>
  <si>
    <t>dimsumenakkk</t>
  </si>
  <si>
    <t>Ilmu Komputer</t>
  </si>
  <si>
    <t>Sem 4</t>
  </si>
  <si>
    <t>putiiwsyalala@upi.edu</t>
  </si>
  <si>
    <t>Canada Boy</t>
  </si>
  <si>
    <t>injeolmi3renjun@gmail.com</t>
  </si>
  <si>
    <t xml:space="preserve">Farah Diba Nur Malinda </t>
  </si>
  <si>
    <t>farahdiba14@student.upi.edu</t>
  </si>
  <si>
    <t>Khalifa Nabil Nur</t>
  </si>
  <si>
    <t>nabilnur@student.upi.edu</t>
  </si>
  <si>
    <t>Afit Fajar Rianto</t>
  </si>
  <si>
    <t>fajarrianto2312@gmail.com</t>
  </si>
  <si>
    <t>Diva Wahyu Nugraha</t>
  </si>
  <si>
    <t>divaaawahyu12@upi.edu</t>
  </si>
  <si>
    <t>Belva Risma Aydina</t>
  </si>
  <si>
    <t>belvaaydina@upi.edu</t>
  </si>
  <si>
    <t>Indah Allya Winatha</t>
  </si>
  <si>
    <t>indahwinatha@student.upi.edu</t>
  </si>
  <si>
    <t xml:space="preserve">Muhammad Fuad Hadziq </t>
  </si>
  <si>
    <t>mfuadh18@student.upi.edu</t>
  </si>
  <si>
    <t>Fitra Ramadan</t>
  </si>
  <si>
    <t>fcarier2006@gmail.com</t>
  </si>
  <si>
    <t>Kayla haniifa</t>
  </si>
  <si>
    <t>kaylahaniifa@student.upi.edu</t>
  </si>
  <si>
    <t>Reivani</t>
  </si>
  <si>
    <t>reivanivellika@student.upi.edu</t>
  </si>
  <si>
    <t xml:space="preserve">Ihda Ibadurrohman </t>
  </si>
  <si>
    <t>ihdaibadurrohman00@gmail.com</t>
  </si>
  <si>
    <t>Ratuw</t>
  </si>
  <si>
    <t>ratulintang18@student.upi.edu</t>
  </si>
  <si>
    <t>Lukman Hakim</t>
  </si>
  <si>
    <t>lukman187doang@gmail.com</t>
  </si>
  <si>
    <t>Muhammad Dzakwan Hibrizi</t>
  </si>
  <si>
    <t>dzakwanhibrizi20@gmail.com</t>
  </si>
  <si>
    <t>dzikra naufal baihaqi</t>
  </si>
  <si>
    <t>dzikranaufalbaihaqi@student.upi.edu</t>
  </si>
  <si>
    <t>Mikail Imanio Chrisandy</t>
  </si>
  <si>
    <t>xxniobroxx@gmail.com</t>
  </si>
  <si>
    <t xml:space="preserve">Novan Arrijal Ghifari Hakim </t>
  </si>
  <si>
    <t>aghif1126@gmail.com</t>
  </si>
  <si>
    <t xml:space="preserve">Barra Alkayyisu Fauzi </t>
  </si>
  <si>
    <t>allkayyissu13@gmail.com</t>
  </si>
  <si>
    <t>Aufaa Prie Adrianto</t>
  </si>
  <si>
    <t>aufaaadrianto13@student.upi.edu</t>
  </si>
  <si>
    <t>Adi Tri Saputra</t>
  </si>
  <si>
    <t>mradhyputra@student.upi.edu</t>
  </si>
  <si>
    <t>Attributes</t>
  </si>
  <si>
    <t>Mean</t>
  </si>
  <si>
    <t>Median</t>
  </si>
  <si>
    <t>STD Dev</t>
  </si>
  <si>
    <t>Min</t>
  </si>
  <si>
    <t>Max</t>
  </si>
  <si>
    <t>Skala</t>
  </si>
  <si>
    <t>CHATGPT</t>
  </si>
  <si>
    <t>Gemini</t>
  </si>
  <si>
    <t>Claude</t>
  </si>
  <si>
    <t>ChatGPT Akademik</t>
  </si>
  <si>
    <t>ChatGPT Non-Akademik</t>
  </si>
  <si>
    <t>ChatGPT Informasi Umum</t>
  </si>
  <si>
    <t>ChatGPT Kepuasan</t>
  </si>
  <si>
    <t>Gemini - Akademik</t>
  </si>
  <si>
    <t>Gemini - Non Akademik</t>
  </si>
  <si>
    <t>Gemini - Informasi Umum</t>
  </si>
  <si>
    <t>Gemini Kepuasan</t>
  </si>
  <si>
    <t>Claude - Akademik</t>
  </si>
  <si>
    <t>Claude - Non Akademik</t>
  </si>
  <si>
    <t>Claude - Informasi Umum</t>
  </si>
  <si>
    <t>Claude - Kepuasan</t>
  </si>
  <si>
    <t>Responden</t>
  </si>
  <si>
    <t>ChatGPT</t>
  </si>
  <si>
    <t>GEMINI</t>
  </si>
  <si>
    <t>CLAUDE</t>
  </si>
  <si>
    <t>Akademik</t>
  </si>
  <si>
    <t>Non-Akademik</t>
  </si>
  <si>
    <t>Informasi Umum</t>
  </si>
  <si>
    <t>Kepuasan</t>
  </si>
  <si>
    <t>Jarak Euclid (I1)</t>
  </si>
  <si>
    <t>J1</t>
  </si>
  <si>
    <t>J2</t>
  </si>
  <si>
    <t>J3</t>
  </si>
  <si>
    <t>Hasil Clustering</t>
  </si>
  <si>
    <t>Jarak Euclid (I2)</t>
  </si>
  <si>
    <t>Jarak Euclid (I3)</t>
  </si>
  <si>
    <t>Jarak Euclid (I4)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</si>
  <si>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</si>
  <si>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</si>
  <si>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</si>
  <si>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</si>
  <si>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</si>
  <si>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</si>
  <si>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</si>
  <si>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</si>
  <si>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</si>
  <si>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</si>
  <si>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</si>
  <si>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</si>
  <si>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</si>
  <si>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</si>
  <si>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</si>
  <si>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</si>
  <si>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</si>
  <si>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</si>
  <si>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</si>
  <si>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</si>
  <si>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</si>
  <si>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</si>
  <si>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</si>
  <si>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</si>
  <si>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</si>
  <si>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</si>
  <si>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</si>
  <si>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</si>
  <si>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</si>
  <si>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</si>
  <si>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</si>
  <si>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</si>
  <si>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</si>
  <si>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</si>
  <si>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</si>
  <si>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</si>
  <si>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</si>
  <si>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</si>
  <si>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</si>
  <si>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</si>
  <si>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</si>
  <si>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</si>
  <si>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</si>
  <si>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</si>
  <si>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</si>
  <si>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</si>
  <si>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</si>
  <si>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</si>
  <si>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</si>
  <si>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</si>
  <si>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</si>
  <si>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</si>
  <si>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</si>
  <si>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</si>
  <si>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</si>
  <si>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</si>
  <si>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</si>
  <si>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</si>
  <si>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</si>
  <si>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</si>
  <si>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</si>
  <si>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</si>
  <si>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</si>
  <si>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</si>
  <si>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</si>
  <si>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</si>
  <si>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</si>
  <si>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</si>
  <si>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</si>
  <si>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</si>
  <si>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</si>
  <si>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</si>
  <si>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</si>
  <si>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</si>
  <si>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</si>
  <si>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</si>
  <si>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</si>
  <si>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</si>
  <si>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</si>
  <si>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</si>
  <si>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</si>
  <si>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</si>
  <si>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</si>
  <si>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</si>
  <si>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</si>
  <si>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</si>
  <si>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</si>
  <si>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</si>
  <si>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</si>
  <si>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</si>
  <si>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</si>
  <si>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</si>
  <si>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</si>
  <si>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</si>
  <si>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</si>
  <si>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</si>
  <si>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</si>
  <si>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</si>
  <si>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</si>
  <si>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</si>
  <si>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</si>
  <si>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</si>
  <si>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</si>
  <si>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</si>
  <si>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</si>
  <si>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</si>
  <si>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</si>
  <si>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</si>
  <si>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</si>
  <si>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</si>
  <si>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</si>
  <si>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</si>
  <si>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</si>
  <si>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</si>
  <si>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</si>
  <si>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</si>
  <si>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</si>
  <si>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</si>
  <si>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</si>
  <si>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</si>
  <si>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</si>
  <si>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</si>
  <si>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</si>
  <si>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</si>
  <si>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</si>
  <si>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</si>
  <si>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</si>
  <si>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</si>
  <si>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</si>
  <si>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</si>
  <si>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</si>
  <si>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</si>
  <si>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</si>
  <si>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</si>
  <si>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</si>
  <si>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</si>
  <si>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</si>
  <si>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</si>
  <si>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</si>
  <si>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</si>
  <si>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</si>
  <si>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</si>
  <si>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</si>
  <si>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</si>
  <si>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</si>
  <si>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</si>
  <si>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Iterasi</t>
  </si>
  <si>
    <t>Cluster</t>
  </si>
  <si>
    <t>Chatgpt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</si>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</sst>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EDA!$J$1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EDA!$H$2:$H$6</c:f>
            </c:strRef>
          </c:cat>
          <c:val>
            <c:numRef>
              <c:f>EDA!$J$2:$J$6</c:f>
              <c:numCache/>
            </c:numRef>
          </c:val>
        </c:ser>
        <c:axId val="1198653415"/>
        <c:axId val="994429295"/>
      </c:barChart>
      <c:catAx>
        <c:axId val="1198653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Skala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429295"/>
      </c:catAx>
      <c:valAx>
        <c:axId val="994429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Gemini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653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EDA!$K$1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EDA!$H$2:$H$6</c:f>
            </c:strRef>
          </c:cat>
          <c:val>
            <c:numRef>
              <c:f>EDA!$K$2:$K$6</c:f>
              <c:numCache/>
            </c:numRef>
          </c:val>
        </c:ser>
        <c:axId val="590670039"/>
        <c:axId val="496173771"/>
      </c:barChart>
      <c:catAx>
        <c:axId val="590670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Skala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173771"/>
      </c:catAx>
      <c:valAx>
        <c:axId val="496173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Claude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670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EDA!$I$1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EDA!$H$2:$H$6</c:f>
            </c:strRef>
          </c:cat>
          <c:val>
            <c:numRef>
              <c:f>EDA!$I$2:$I$6</c:f>
              <c:numCache/>
            </c:numRef>
          </c:val>
        </c:ser>
        <c:axId val="230001643"/>
        <c:axId val="355856543"/>
      </c:barChart>
      <c:catAx>
        <c:axId val="230001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Skala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856543"/>
      </c:catAx>
      <c:valAx>
        <c:axId val="355856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CHATGPT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001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28</xdr:row>
      <xdr:rowOff>47625</xdr:rowOff>
    </xdr:from>
    <xdr:ext cx="2619375" cy="2686050"/>
    <xdr:pic>
      <xdr:nvPicPr>
        <xdr:cNvPr id="141523821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13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457200</xdr:colOff>
      <xdr:row>13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914400</xdr:colOff>
      <xdr:row>13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8" displayName="Form_Responses" name="Form_Responses" id="1">
  <tableColumns count="17">
    <tableColumn name="Timestamp" id="1"/>
    <tableColumn name="Nama Lengkap" id="2"/>
    <tableColumn name="Program Studi" id="3"/>
    <tableColumn name="Semester" id="4"/>
    <tableColumn name="Seberapa sering kamu menggunakan ChatGPT untuk kegiatan akademik?" id="5"/>
    <tableColumn name="Seberapa sering kamu menggunakan ChatGPT untuk kegiatan non-akademik?" id="6"/>
    <tableColumn name="Seberapa sering kamu menggunakan ChatGPT untuk mencari informasi umum?" id="7"/>
    <tableColumn name="Seberapa puas kamu dengan hasil yang diberikan ChatGPT?" id="8"/>
    <tableColumn name="Seberapa sering kamu menggunakan Gemini untuk kegiatan akademik?  " id="9"/>
    <tableColumn name="Seberapa sering kamu menggunakan Gemini untuk kegiatan non-akademik?" id="10"/>
    <tableColumn name="Seberapa sering kamu menggunakan Gemini untuk mencari informasi umum?" id="11"/>
    <tableColumn name="Seberapa puas kamu dengan hasil yang diberikan Gemini?" id="12"/>
    <tableColumn name="Seberapa sering kamu menggunakan Claude untuk kegiatan akademik?  " id="13"/>
    <tableColumn name="Seberapa sering kamu menggunakan Claude untuk kegiatan non-akademik?" id="14"/>
    <tableColumn name="Seberapa sering kamu menggunakan Claude untuk mencari informasi umum?" id="15"/>
    <tableColumn name="Seberapa puas kamu dengan hasil yang diberikan Claude?" id="16"/>
    <tableColumn name="Email Address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16" width="37.63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46161.68272990741</v>
      </c>
      <c r="B2" s="3" t="s">
        <v>17</v>
      </c>
      <c r="C2" s="3" t="s">
        <v>18</v>
      </c>
      <c r="D2" s="3" t="s">
        <v>19</v>
      </c>
      <c r="E2" s="3">
        <v>2.0</v>
      </c>
      <c r="F2" s="3">
        <v>2.0</v>
      </c>
      <c r="G2" s="3">
        <v>2.0</v>
      </c>
      <c r="H2" s="3">
        <v>2.0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2.0</v>
      </c>
      <c r="O2" s="3">
        <v>2.0</v>
      </c>
      <c r="P2" s="3">
        <v>5.0</v>
      </c>
      <c r="Q2" s="3" t="s">
        <v>20</v>
      </c>
    </row>
    <row r="3" ht="22.5" customHeight="1">
      <c r="A3" s="4">
        <v>46161.682014826394</v>
      </c>
      <c r="B3" s="5" t="s">
        <v>21</v>
      </c>
      <c r="C3" s="5" t="s">
        <v>18</v>
      </c>
      <c r="D3" s="5" t="s">
        <v>19</v>
      </c>
      <c r="E3" s="5">
        <v>3.0</v>
      </c>
      <c r="F3" s="5">
        <v>4.0</v>
      </c>
      <c r="G3" s="5">
        <v>4.0</v>
      </c>
      <c r="H3" s="5">
        <v>3.0</v>
      </c>
      <c r="I3" s="5">
        <v>4.0</v>
      </c>
      <c r="J3" s="5">
        <v>3.0</v>
      </c>
      <c r="K3" s="5">
        <v>2.0</v>
      </c>
      <c r="L3" s="5">
        <v>3.0</v>
      </c>
      <c r="M3" s="5">
        <v>5.0</v>
      </c>
      <c r="N3" s="5">
        <v>5.0</v>
      </c>
      <c r="O3" s="5">
        <v>5.0</v>
      </c>
      <c r="P3" s="5">
        <v>5.0</v>
      </c>
      <c r="Q3" s="5" t="s">
        <v>22</v>
      </c>
    </row>
    <row r="4" ht="22.5" customHeight="1">
      <c r="A4" s="4">
        <v>46161.682041736116</v>
      </c>
      <c r="B4" s="5" t="s">
        <v>23</v>
      </c>
      <c r="C4" s="5" t="s">
        <v>18</v>
      </c>
      <c r="D4" s="5" t="s">
        <v>19</v>
      </c>
      <c r="E4" s="5">
        <v>4.0</v>
      </c>
      <c r="F4" s="5">
        <v>4.0</v>
      </c>
      <c r="G4" s="5">
        <v>4.0</v>
      </c>
      <c r="H4" s="5">
        <v>4.0</v>
      </c>
      <c r="I4" s="5">
        <v>1.0</v>
      </c>
      <c r="J4" s="5">
        <v>2.0</v>
      </c>
      <c r="K4" s="5">
        <v>2.0</v>
      </c>
      <c r="L4" s="5">
        <v>2.0</v>
      </c>
      <c r="M4" s="5">
        <v>1.0</v>
      </c>
      <c r="N4" s="5">
        <v>1.0</v>
      </c>
      <c r="O4" s="5">
        <v>1.0</v>
      </c>
      <c r="P4" s="5">
        <v>1.0</v>
      </c>
      <c r="Q4" s="5" t="s">
        <v>24</v>
      </c>
    </row>
    <row r="5" ht="22.5" customHeight="1">
      <c r="A5" s="4">
        <v>46161.683847962966</v>
      </c>
      <c r="B5" s="5" t="s">
        <v>25</v>
      </c>
      <c r="C5" s="5" t="s">
        <v>18</v>
      </c>
      <c r="D5" s="5" t="s">
        <v>19</v>
      </c>
      <c r="E5" s="5">
        <v>5.0</v>
      </c>
      <c r="F5" s="5">
        <v>5.0</v>
      </c>
      <c r="G5" s="5">
        <v>5.0</v>
      </c>
      <c r="H5" s="5">
        <v>5.0</v>
      </c>
      <c r="I5" s="5">
        <v>3.0</v>
      </c>
      <c r="J5" s="5">
        <v>4.0</v>
      </c>
      <c r="K5" s="5">
        <v>5.0</v>
      </c>
      <c r="L5" s="5">
        <v>4.0</v>
      </c>
      <c r="M5" s="5">
        <v>1.0</v>
      </c>
      <c r="N5" s="5">
        <v>1.0</v>
      </c>
      <c r="O5" s="5">
        <v>1.0</v>
      </c>
      <c r="P5" s="5">
        <v>1.0</v>
      </c>
      <c r="Q5" s="5" t="s">
        <v>26</v>
      </c>
    </row>
    <row r="6" ht="22.5" customHeight="1">
      <c r="A6" s="4">
        <v>46161.69344728009</v>
      </c>
      <c r="B6" s="5" t="s">
        <v>27</v>
      </c>
      <c r="C6" s="5" t="s">
        <v>18</v>
      </c>
      <c r="D6" s="5" t="s">
        <v>19</v>
      </c>
      <c r="E6" s="5">
        <v>5.0</v>
      </c>
      <c r="F6" s="5">
        <v>5.0</v>
      </c>
      <c r="G6" s="5">
        <v>1.0</v>
      </c>
      <c r="H6" s="5">
        <v>4.0</v>
      </c>
      <c r="I6" s="5">
        <v>1.0</v>
      </c>
      <c r="J6" s="5">
        <v>3.0</v>
      </c>
      <c r="K6" s="5">
        <v>3.0</v>
      </c>
      <c r="L6" s="5">
        <v>3.0</v>
      </c>
      <c r="M6" s="5">
        <v>1.0</v>
      </c>
      <c r="N6" s="5">
        <v>1.0</v>
      </c>
      <c r="O6" s="5">
        <v>1.0</v>
      </c>
      <c r="P6" s="5">
        <v>1.0</v>
      </c>
      <c r="Q6" s="5" t="s">
        <v>28</v>
      </c>
    </row>
    <row r="7" ht="22.5" customHeight="1">
      <c r="A7" s="4">
        <v>46161.705658425926</v>
      </c>
      <c r="B7" s="5" t="s">
        <v>29</v>
      </c>
      <c r="C7" s="5" t="s">
        <v>30</v>
      </c>
      <c r="D7" s="5" t="s">
        <v>31</v>
      </c>
      <c r="E7" s="5">
        <v>5.0</v>
      </c>
      <c r="F7" s="5">
        <v>5.0</v>
      </c>
      <c r="G7" s="5">
        <v>4.0</v>
      </c>
      <c r="H7" s="5">
        <v>4.0</v>
      </c>
      <c r="I7" s="5">
        <v>5.0</v>
      </c>
      <c r="J7" s="5">
        <v>4.0</v>
      </c>
      <c r="K7" s="5">
        <v>3.0</v>
      </c>
      <c r="L7" s="5">
        <v>4.0</v>
      </c>
      <c r="M7" s="5">
        <v>1.0</v>
      </c>
      <c r="N7" s="5">
        <v>1.0</v>
      </c>
      <c r="O7" s="5">
        <v>1.0</v>
      </c>
      <c r="P7" s="5">
        <v>1.0</v>
      </c>
      <c r="Q7" s="5" t="s">
        <v>32</v>
      </c>
    </row>
    <row r="8" ht="22.5" customHeight="1">
      <c r="A8" s="4">
        <v>46161.70780795139</v>
      </c>
      <c r="B8" s="5" t="s">
        <v>33</v>
      </c>
      <c r="C8" s="5" t="s">
        <v>30</v>
      </c>
      <c r="D8" s="5" t="s">
        <v>31</v>
      </c>
      <c r="E8" s="5">
        <v>5.0</v>
      </c>
      <c r="F8" s="5">
        <v>3.0</v>
      </c>
      <c r="G8" s="5">
        <v>3.0</v>
      </c>
      <c r="H8" s="5">
        <v>2.0</v>
      </c>
      <c r="I8" s="5">
        <v>5.0</v>
      </c>
      <c r="J8" s="5">
        <v>3.0</v>
      </c>
      <c r="K8" s="5">
        <v>3.0</v>
      </c>
      <c r="L8" s="5">
        <v>2.0</v>
      </c>
      <c r="M8" s="5">
        <v>5.0</v>
      </c>
      <c r="N8" s="5">
        <v>2.0</v>
      </c>
      <c r="O8" s="5">
        <v>2.0</v>
      </c>
      <c r="P8" s="5">
        <v>4.0</v>
      </c>
      <c r="Q8" s="5" t="s">
        <v>34</v>
      </c>
    </row>
    <row r="9" ht="22.5" customHeight="1">
      <c r="A9" s="4">
        <v>46161.72556574074</v>
      </c>
      <c r="B9" s="5" t="s">
        <v>35</v>
      </c>
      <c r="C9" s="5" t="s">
        <v>30</v>
      </c>
      <c r="D9" s="5" t="s">
        <v>19</v>
      </c>
      <c r="E9" s="5">
        <v>3.0</v>
      </c>
      <c r="F9" s="5">
        <v>3.0</v>
      </c>
      <c r="G9" s="5">
        <v>3.0</v>
      </c>
      <c r="H9" s="5">
        <v>3.0</v>
      </c>
      <c r="I9" s="5">
        <v>2.0</v>
      </c>
      <c r="J9" s="5">
        <v>2.0</v>
      </c>
      <c r="K9" s="5">
        <v>2.0</v>
      </c>
      <c r="L9" s="5">
        <v>2.0</v>
      </c>
      <c r="M9" s="5">
        <v>2.0</v>
      </c>
      <c r="N9" s="5">
        <v>2.0</v>
      </c>
      <c r="O9" s="5">
        <v>1.0</v>
      </c>
      <c r="P9" s="5">
        <v>2.0</v>
      </c>
      <c r="Q9" s="5" t="s">
        <v>36</v>
      </c>
    </row>
    <row r="10" ht="22.5" customHeight="1">
      <c r="A10" s="4">
        <v>46161.73630310185</v>
      </c>
      <c r="B10" s="5" t="s">
        <v>37</v>
      </c>
      <c r="C10" s="5" t="s">
        <v>30</v>
      </c>
      <c r="D10" s="5" t="s">
        <v>19</v>
      </c>
      <c r="E10" s="5">
        <v>3.0</v>
      </c>
      <c r="F10" s="5">
        <v>2.0</v>
      </c>
      <c r="G10" s="5">
        <v>2.0</v>
      </c>
      <c r="H10" s="5">
        <v>3.0</v>
      </c>
      <c r="I10" s="5">
        <v>3.0</v>
      </c>
      <c r="J10" s="5">
        <v>2.0</v>
      </c>
      <c r="K10" s="5">
        <v>2.0</v>
      </c>
      <c r="L10" s="5">
        <v>3.0</v>
      </c>
      <c r="M10" s="5">
        <v>4.0</v>
      </c>
      <c r="N10" s="5">
        <v>2.0</v>
      </c>
      <c r="O10" s="5">
        <v>2.0</v>
      </c>
      <c r="P10" s="5">
        <v>4.0</v>
      </c>
      <c r="Q10" s="5" t="s">
        <v>38</v>
      </c>
    </row>
    <row r="11" ht="22.5" customHeight="1">
      <c r="A11" s="4">
        <v>46161.76226287037</v>
      </c>
      <c r="B11" s="5" t="s">
        <v>39</v>
      </c>
      <c r="C11" s="5" t="s">
        <v>30</v>
      </c>
      <c r="D11" s="5" t="s">
        <v>19</v>
      </c>
      <c r="E11" s="5">
        <v>4.0</v>
      </c>
      <c r="F11" s="5">
        <v>4.0</v>
      </c>
      <c r="G11" s="5">
        <v>5.0</v>
      </c>
      <c r="H11" s="5">
        <v>3.0</v>
      </c>
      <c r="I11" s="5">
        <v>3.0</v>
      </c>
      <c r="J11" s="5">
        <v>4.0</v>
      </c>
      <c r="K11" s="5">
        <v>5.0</v>
      </c>
      <c r="L11" s="5">
        <v>3.0</v>
      </c>
      <c r="M11" s="5">
        <v>4.0</v>
      </c>
      <c r="N11" s="5">
        <v>4.0</v>
      </c>
      <c r="O11" s="5">
        <v>3.0</v>
      </c>
      <c r="P11" s="5">
        <v>5.0</v>
      </c>
      <c r="Q11" s="5" t="s">
        <v>40</v>
      </c>
    </row>
    <row r="12" ht="22.5" customHeight="1">
      <c r="A12" s="4">
        <v>46161.88727041667</v>
      </c>
      <c r="B12" s="5" t="s">
        <v>41</v>
      </c>
      <c r="C12" s="5" t="s">
        <v>18</v>
      </c>
      <c r="D12" s="5" t="s">
        <v>31</v>
      </c>
      <c r="E12" s="5">
        <v>5.0</v>
      </c>
      <c r="F12" s="5">
        <v>5.0</v>
      </c>
      <c r="G12" s="5">
        <v>4.0</v>
      </c>
      <c r="H12" s="5">
        <v>3.0</v>
      </c>
      <c r="I12" s="5">
        <v>5.0</v>
      </c>
      <c r="J12" s="5">
        <v>2.0</v>
      </c>
      <c r="K12" s="5">
        <v>3.0</v>
      </c>
      <c r="L12" s="5">
        <v>5.0</v>
      </c>
      <c r="M12" s="5">
        <v>5.0</v>
      </c>
      <c r="N12" s="5">
        <v>5.0</v>
      </c>
      <c r="O12" s="5">
        <v>5.0</v>
      </c>
      <c r="P12" s="5">
        <v>5.0</v>
      </c>
      <c r="Q12" s="5" t="s">
        <v>42</v>
      </c>
    </row>
    <row r="13" ht="22.5" customHeight="1">
      <c r="A13" s="4">
        <v>46161.948962650466</v>
      </c>
      <c r="B13" s="5" t="s">
        <v>43</v>
      </c>
      <c r="C13" s="5" t="s">
        <v>18</v>
      </c>
      <c r="D13" s="5" t="s">
        <v>31</v>
      </c>
      <c r="E13" s="5">
        <v>2.0</v>
      </c>
      <c r="F13" s="5">
        <v>3.0</v>
      </c>
      <c r="G13" s="5">
        <v>3.0</v>
      </c>
      <c r="H13" s="5">
        <v>3.0</v>
      </c>
      <c r="I13" s="5">
        <v>4.0</v>
      </c>
      <c r="J13" s="5">
        <v>4.0</v>
      </c>
      <c r="K13" s="5">
        <v>4.0</v>
      </c>
      <c r="L13" s="5">
        <v>3.0</v>
      </c>
      <c r="M13" s="5">
        <v>5.0</v>
      </c>
      <c r="N13" s="5">
        <v>5.0</v>
      </c>
      <c r="O13" s="5">
        <v>5.0</v>
      </c>
      <c r="P13" s="5">
        <v>5.0</v>
      </c>
      <c r="Q13" s="5" t="s">
        <v>44</v>
      </c>
    </row>
    <row r="14" ht="22.5" customHeight="1">
      <c r="A14" s="4">
        <v>46162.37224119213</v>
      </c>
      <c r="B14" s="5" t="s">
        <v>45</v>
      </c>
      <c r="C14" s="5" t="s">
        <v>18</v>
      </c>
      <c r="D14" s="5" t="s">
        <v>19</v>
      </c>
      <c r="E14" s="5">
        <v>4.0</v>
      </c>
      <c r="F14" s="5">
        <v>2.0</v>
      </c>
      <c r="G14" s="5">
        <v>5.0</v>
      </c>
      <c r="H14" s="5">
        <v>4.0</v>
      </c>
      <c r="I14" s="5">
        <v>2.0</v>
      </c>
      <c r="J14" s="5">
        <v>1.0</v>
      </c>
      <c r="K14" s="5">
        <v>1.0</v>
      </c>
      <c r="L14" s="5">
        <v>3.0</v>
      </c>
      <c r="M14" s="5">
        <v>1.0</v>
      </c>
      <c r="N14" s="5">
        <v>1.0</v>
      </c>
      <c r="O14" s="5">
        <v>1.0</v>
      </c>
      <c r="P14" s="5">
        <v>3.0</v>
      </c>
      <c r="Q14" s="5" t="s">
        <v>46</v>
      </c>
    </row>
    <row r="15" ht="22.5" customHeight="1">
      <c r="A15" s="4">
        <v>46163.579931932865</v>
      </c>
      <c r="B15" s="5" t="s">
        <v>47</v>
      </c>
      <c r="C15" s="5" t="s">
        <v>18</v>
      </c>
      <c r="D15" s="5" t="s">
        <v>19</v>
      </c>
      <c r="E15" s="5">
        <v>5.0</v>
      </c>
      <c r="F15" s="5">
        <v>5.0</v>
      </c>
      <c r="G15" s="5">
        <v>5.0</v>
      </c>
      <c r="H15" s="5">
        <v>5.0</v>
      </c>
      <c r="I15" s="5">
        <v>5.0</v>
      </c>
      <c r="J15" s="5">
        <v>5.0</v>
      </c>
      <c r="K15" s="5">
        <v>5.0</v>
      </c>
      <c r="L15" s="5">
        <v>5.0</v>
      </c>
      <c r="M15" s="5">
        <v>5.0</v>
      </c>
      <c r="N15" s="5">
        <v>5.0</v>
      </c>
      <c r="O15" s="5">
        <v>5.0</v>
      </c>
      <c r="P15" s="5">
        <v>5.0</v>
      </c>
      <c r="Q15" s="5" t="s">
        <v>48</v>
      </c>
    </row>
    <row r="16" ht="22.5" customHeight="1">
      <c r="A16" s="4">
        <v>46163.58162328704</v>
      </c>
      <c r="B16" s="5" t="s">
        <v>49</v>
      </c>
      <c r="C16" s="5" t="s">
        <v>18</v>
      </c>
      <c r="D16" s="5" t="s">
        <v>19</v>
      </c>
      <c r="E16" s="5">
        <v>2.0</v>
      </c>
      <c r="F16" s="5">
        <v>1.0</v>
      </c>
      <c r="G16" s="5">
        <v>1.0</v>
      </c>
      <c r="H16" s="5">
        <v>3.0</v>
      </c>
      <c r="I16" s="5">
        <v>1.0</v>
      </c>
      <c r="J16" s="5">
        <v>1.0</v>
      </c>
      <c r="K16" s="5">
        <v>3.0</v>
      </c>
      <c r="L16" s="5">
        <v>3.0</v>
      </c>
      <c r="M16" s="5">
        <v>1.0</v>
      </c>
      <c r="N16" s="5">
        <v>1.0</v>
      </c>
      <c r="O16" s="5">
        <v>1.0</v>
      </c>
      <c r="P16" s="5">
        <v>1.0</v>
      </c>
      <c r="Q16" s="5" t="s">
        <v>50</v>
      </c>
    </row>
    <row r="17" ht="22.5" customHeight="1">
      <c r="A17" s="4">
        <v>46163.70760534723</v>
      </c>
      <c r="B17" s="5" t="s">
        <v>51</v>
      </c>
      <c r="C17" s="5" t="s">
        <v>18</v>
      </c>
      <c r="D17" s="5" t="s">
        <v>19</v>
      </c>
      <c r="E17" s="5">
        <v>3.0</v>
      </c>
      <c r="F17" s="5">
        <v>4.0</v>
      </c>
      <c r="G17" s="5">
        <v>4.0</v>
      </c>
      <c r="H17" s="5">
        <v>3.0</v>
      </c>
      <c r="I17" s="5">
        <v>1.0</v>
      </c>
      <c r="J17" s="5">
        <v>1.0</v>
      </c>
      <c r="K17" s="5">
        <v>2.0</v>
      </c>
      <c r="L17" s="5">
        <v>3.0</v>
      </c>
      <c r="M17" s="5">
        <v>1.0</v>
      </c>
      <c r="N17" s="5">
        <v>1.0</v>
      </c>
      <c r="O17" s="5">
        <v>1.0</v>
      </c>
      <c r="P17" s="5">
        <v>1.0</v>
      </c>
      <c r="Q17" s="5" t="s">
        <v>52</v>
      </c>
    </row>
    <row r="18" ht="22.5" customHeight="1">
      <c r="A18" s="4">
        <v>46163.748958530094</v>
      </c>
      <c r="B18" s="5" t="s">
        <v>53</v>
      </c>
      <c r="C18" s="5" t="s">
        <v>18</v>
      </c>
      <c r="D18" s="5" t="s">
        <v>19</v>
      </c>
      <c r="E18" s="5">
        <v>4.0</v>
      </c>
      <c r="F18" s="5">
        <v>2.0</v>
      </c>
      <c r="G18" s="5">
        <v>3.0</v>
      </c>
      <c r="H18" s="5">
        <v>4.0</v>
      </c>
      <c r="I18" s="5">
        <v>2.0</v>
      </c>
      <c r="J18" s="5">
        <v>2.0</v>
      </c>
      <c r="K18" s="5">
        <v>3.0</v>
      </c>
      <c r="L18" s="5">
        <v>3.0</v>
      </c>
      <c r="M18" s="5">
        <v>1.0</v>
      </c>
      <c r="N18" s="5">
        <v>1.0</v>
      </c>
      <c r="O18" s="5">
        <v>1.0</v>
      </c>
      <c r="P18" s="5">
        <v>3.0</v>
      </c>
      <c r="Q18" s="5" t="s">
        <v>54</v>
      </c>
    </row>
    <row r="19" ht="22.5" customHeight="1">
      <c r="A19" s="4">
        <v>46164.7801615162</v>
      </c>
      <c r="B19" s="5" t="s">
        <v>55</v>
      </c>
      <c r="C19" s="5" t="s">
        <v>18</v>
      </c>
      <c r="D19" s="5" t="s">
        <v>19</v>
      </c>
      <c r="E19" s="5">
        <v>5.0</v>
      </c>
      <c r="F19" s="5">
        <v>5.0</v>
      </c>
      <c r="G19" s="5">
        <v>2.0</v>
      </c>
      <c r="H19" s="5">
        <v>4.0</v>
      </c>
      <c r="I19" s="5">
        <v>2.0</v>
      </c>
      <c r="J19" s="5">
        <v>4.0</v>
      </c>
      <c r="K19" s="5">
        <v>4.0</v>
      </c>
      <c r="L19" s="5">
        <v>4.0</v>
      </c>
      <c r="M19" s="5">
        <v>4.0</v>
      </c>
      <c r="N19" s="5">
        <v>1.0</v>
      </c>
      <c r="O19" s="5">
        <v>1.0</v>
      </c>
      <c r="P19" s="5">
        <v>5.0</v>
      </c>
      <c r="Q19" s="5" t="s">
        <v>56</v>
      </c>
    </row>
    <row r="20" ht="22.5" customHeight="1">
      <c r="A20" s="4">
        <v>46164.9716709375</v>
      </c>
      <c r="B20" s="5" t="s">
        <v>57</v>
      </c>
      <c r="C20" s="5" t="s">
        <v>18</v>
      </c>
      <c r="D20" s="5" t="s">
        <v>19</v>
      </c>
      <c r="E20" s="5">
        <v>2.0</v>
      </c>
      <c r="F20" s="5">
        <v>1.0</v>
      </c>
      <c r="G20" s="5">
        <v>2.0</v>
      </c>
      <c r="H20" s="5">
        <v>2.0</v>
      </c>
      <c r="I20" s="5">
        <v>4.0</v>
      </c>
      <c r="J20" s="5">
        <v>4.0</v>
      </c>
      <c r="K20" s="5">
        <v>5.0</v>
      </c>
      <c r="L20" s="5">
        <v>3.0</v>
      </c>
      <c r="M20" s="5">
        <v>2.0</v>
      </c>
      <c r="N20" s="5">
        <v>2.0</v>
      </c>
      <c r="O20" s="5">
        <v>1.0</v>
      </c>
      <c r="P20" s="5">
        <v>1.0</v>
      </c>
      <c r="Q20" s="5" t="s">
        <v>58</v>
      </c>
    </row>
    <row r="21" ht="22.5" customHeight="1">
      <c r="A21" s="4">
        <v>46165.47315203704</v>
      </c>
      <c r="B21" s="5" t="s">
        <v>59</v>
      </c>
      <c r="C21" s="5" t="s">
        <v>18</v>
      </c>
      <c r="D21" s="5" t="s">
        <v>19</v>
      </c>
      <c r="E21" s="5">
        <v>2.0</v>
      </c>
      <c r="F21" s="5">
        <v>3.0</v>
      </c>
      <c r="G21" s="5">
        <v>3.0</v>
      </c>
      <c r="H21" s="5">
        <v>3.0</v>
      </c>
      <c r="I21" s="5">
        <v>5.0</v>
      </c>
      <c r="J21" s="5">
        <v>5.0</v>
      </c>
      <c r="K21" s="5">
        <v>4.0</v>
      </c>
      <c r="L21" s="5">
        <v>5.0</v>
      </c>
      <c r="M21" s="5">
        <v>1.0</v>
      </c>
      <c r="N21" s="5">
        <v>1.0</v>
      </c>
      <c r="O21" s="5">
        <v>1.0</v>
      </c>
      <c r="P21" s="5">
        <v>1.0</v>
      </c>
      <c r="Q21" s="5" t="s">
        <v>60</v>
      </c>
    </row>
    <row r="22" ht="22.5" customHeight="1">
      <c r="A22" s="4">
        <v>46167.53980712963</v>
      </c>
      <c r="B22" s="5" t="s">
        <v>61</v>
      </c>
      <c r="C22" s="5" t="s">
        <v>18</v>
      </c>
      <c r="D22" s="5" t="s">
        <v>19</v>
      </c>
      <c r="E22" s="5">
        <v>3.0</v>
      </c>
      <c r="F22" s="5">
        <v>3.0</v>
      </c>
      <c r="G22" s="5">
        <v>3.0</v>
      </c>
      <c r="H22" s="5">
        <v>3.0</v>
      </c>
      <c r="I22" s="5">
        <v>3.0</v>
      </c>
      <c r="J22" s="5">
        <v>3.0</v>
      </c>
      <c r="K22" s="5">
        <v>3.0</v>
      </c>
      <c r="L22" s="5">
        <v>4.0</v>
      </c>
      <c r="M22" s="5">
        <v>3.0</v>
      </c>
      <c r="N22" s="5">
        <v>3.0</v>
      </c>
      <c r="O22" s="5">
        <v>2.0</v>
      </c>
      <c r="P22" s="5">
        <v>4.0</v>
      </c>
      <c r="Q22" s="5" t="s">
        <v>62</v>
      </c>
    </row>
    <row r="23" ht="22.5" customHeight="1">
      <c r="A23" s="4">
        <v>46167.564914745366</v>
      </c>
      <c r="B23" s="5" t="s">
        <v>63</v>
      </c>
      <c r="C23" s="5" t="s">
        <v>30</v>
      </c>
      <c r="D23" s="5" t="s">
        <v>31</v>
      </c>
      <c r="E23" s="5">
        <v>1.0</v>
      </c>
      <c r="F23" s="5">
        <v>5.0</v>
      </c>
      <c r="G23" s="5">
        <v>5.0</v>
      </c>
      <c r="H23" s="5">
        <v>4.0</v>
      </c>
      <c r="I23" s="5">
        <v>1.0</v>
      </c>
      <c r="J23" s="5">
        <v>1.0</v>
      </c>
      <c r="K23" s="5">
        <v>1.0</v>
      </c>
      <c r="L23" s="5">
        <v>1.0</v>
      </c>
      <c r="M23" s="5">
        <v>3.0</v>
      </c>
      <c r="N23" s="5">
        <v>5.0</v>
      </c>
      <c r="O23" s="5">
        <v>5.0</v>
      </c>
      <c r="P23" s="5">
        <v>5.0</v>
      </c>
      <c r="Q23" s="5" t="s">
        <v>64</v>
      </c>
    </row>
    <row r="24" ht="22.5" customHeight="1">
      <c r="A24" s="4">
        <v>46167.56613061343</v>
      </c>
      <c r="B24" s="5" t="s">
        <v>65</v>
      </c>
      <c r="C24" s="5" t="s">
        <v>18</v>
      </c>
      <c r="D24" s="5" t="s">
        <v>19</v>
      </c>
      <c r="E24" s="5">
        <v>5.0</v>
      </c>
      <c r="F24" s="5">
        <v>5.0</v>
      </c>
      <c r="G24" s="5">
        <v>3.0</v>
      </c>
      <c r="H24" s="5">
        <v>4.0</v>
      </c>
      <c r="I24" s="5">
        <v>1.0</v>
      </c>
      <c r="J24" s="5">
        <v>1.0</v>
      </c>
      <c r="K24" s="5">
        <v>1.0</v>
      </c>
      <c r="L24" s="5">
        <v>1.0</v>
      </c>
      <c r="M24" s="5">
        <v>5.0</v>
      </c>
      <c r="N24" s="5">
        <v>5.0</v>
      </c>
      <c r="O24" s="5">
        <v>5.0</v>
      </c>
      <c r="P24" s="5">
        <v>5.0</v>
      </c>
      <c r="Q24" s="5" t="s">
        <v>66</v>
      </c>
    </row>
    <row r="25" ht="22.5" customHeight="1">
      <c r="A25" s="4">
        <v>46167.56630045139</v>
      </c>
      <c r="B25" s="5" t="s">
        <v>67</v>
      </c>
      <c r="C25" s="5" t="s">
        <v>18</v>
      </c>
      <c r="D25" s="5" t="s">
        <v>19</v>
      </c>
      <c r="E25" s="5">
        <v>5.0</v>
      </c>
      <c r="F25" s="5">
        <v>3.0</v>
      </c>
      <c r="G25" s="5">
        <v>3.0</v>
      </c>
      <c r="H25" s="5">
        <v>5.0</v>
      </c>
      <c r="I25" s="5">
        <v>3.0</v>
      </c>
      <c r="J25" s="5">
        <v>3.0</v>
      </c>
      <c r="K25" s="5">
        <v>5.0</v>
      </c>
      <c r="L25" s="5">
        <v>5.0</v>
      </c>
      <c r="M25" s="5">
        <v>5.0</v>
      </c>
      <c r="N25" s="5">
        <v>5.0</v>
      </c>
      <c r="O25" s="5">
        <v>5.0</v>
      </c>
      <c r="P25" s="5">
        <v>5.0</v>
      </c>
      <c r="Q25" s="5" t="s">
        <v>68</v>
      </c>
    </row>
    <row r="26" ht="22.5" customHeight="1">
      <c r="A26" s="4">
        <v>46167.56710680555</v>
      </c>
      <c r="B26" s="5" t="s">
        <v>69</v>
      </c>
      <c r="C26" s="5" t="s">
        <v>18</v>
      </c>
      <c r="D26" s="5" t="s">
        <v>31</v>
      </c>
      <c r="E26" s="5">
        <v>1.0</v>
      </c>
      <c r="F26" s="5">
        <v>3.0</v>
      </c>
      <c r="G26" s="5">
        <v>1.0</v>
      </c>
      <c r="H26" s="5">
        <v>4.0</v>
      </c>
      <c r="I26" s="5">
        <v>1.0</v>
      </c>
      <c r="J26" s="5">
        <v>1.0</v>
      </c>
      <c r="K26" s="5">
        <v>3.0</v>
      </c>
      <c r="L26" s="5">
        <v>5.0</v>
      </c>
      <c r="M26" s="5">
        <v>1.0</v>
      </c>
      <c r="N26" s="5">
        <v>1.0</v>
      </c>
      <c r="O26" s="5">
        <v>1.0</v>
      </c>
      <c r="P26" s="5">
        <v>4.0</v>
      </c>
      <c r="Q26" s="5" t="s">
        <v>70</v>
      </c>
    </row>
    <row r="27" ht="22.5" customHeight="1">
      <c r="A27" s="4">
        <v>46167.568605532404</v>
      </c>
      <c r="B27" s="5" t="s">
        <v>71</v>
      </c>
      <c r="C27" s="5" t="s">
        <v>18</v>
      </c>
      <c r="D27" s="5" t="s">
        <v>19</v>
      </c>
      <c r="E27" s="5">
        <v>4.0</v>
      </c>
      <c r="F27" s="5">
        <v>2.0</v>
      </c>
      <c r="G27" s="5">
        <v>2.0</v>
      </c>
      <c r="H27" s="5">
        <v>4.0</v>
      </c>
      <c r="I27" s="5">
        <v>4.0</v>
      </c>
      <c r="J27" s="5">
        <v>2.0</v>
      </c>
      <c r="K27" s="5">
        <v>2.0</v>
      </c>
      <c r="L27" s="5">
        <v>4.0</v>
      </c>
      <c r="M27" s="5">
        <v>4.0</v>
      </c>
      <c r="N27" s="5">
        <v>2.0</v>
      </c>
      <c r="O27" s="5">
        <v>1.0</v>
      </c>
      <c r="P27" s="5">
        <v>5.0</v>
      </c>
      <c r="Q27" s="5" t="s">
        <v>72</v>
      </c>
    </row>
    <row r="28" ht="22.5" customHeight="1">
      <c r="A28" s="4">
        <v>46167.667688622685</v>
      </c>
      <c r="B28" s="5" t="s">
        <v>73</v>
      </c>
      <c r="C28" s="5" t="s">
        <v>18</v>
      </c>
      <c r="D28" s="5" t="s">
        <v>19</v>
      </c>
      <c r="E28" s="5">
        <v>2.0</v>
      </c>
      <c r="F28" s="5">
        <v>2.0</v>
      </c>
      <c r="G28" s="5">
        <v>2.0</v>
      </c>
      <c r="H28" s="5">
        <v>3.0</v>
      </c>
      <c r="I28" s="5">
        <v>4.0</v>
      </c>
      <c r="J28" s="5">
        <v>4.0</v>
      </c>
      <c r="K28" s="5">
        <v>4.0</v>
      </c>
      <c r="L28" s="5">
        <v>4.0</v>
      </c>
      <c r="M28" s="5">
        <v>3.0</v>
      </c>
      <c r="N28" s="5">
        <v>3.0</v>
      </c>
      <c r="O28" s="5">
        <v>3.0</v>
      </c>
      <c r="P28" s="5">
        <v>4.0</v>
      </c>
      <c r="Q28" s="5" t="s">
        <v>74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3.0"/>
  </cols>
  <sheetData>
    <row r="1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H1" s="7" t="s">
        <v>81</v>
      </c>
      <c r="I1" s="7" t="s">
        <v>82</v>
      </c>
      <c r="J1" s="7" t="s">
        <v>83</v>
      </c>
      <c r="K1" s="7" t="s">
        <v>84</v>
      </c>
    </row>
    <row r="2">
      <c r="A2" s="6" t="s">
        <v>85</v>
      </c>
      <c r="B2" s="8">
        <f>AVERAGE(Form_Responses[Seberapa sering kamu menggunakan ChatGPT untuk kegiatan akademik?])</f>
        <v>3.481481481</v>
      </c>
      <c r="C2" s="8">
        <f>MEDIAN(OFFSET('Form Responses 1'!$E$2:$E$150, 0, ROW(A1)-1))</f>
        <v>4</v>
      </c>
      <c r="D2" s="8">
        <f>_xlfn.STDEV.S(OFFSET('Form Responses 1'!$E$2:$E$150, 0, ROW(A1)-1))</f>
        <v>1.369176349</v>
      </c>
      <c r="E2" s="8">
        <f>MIN(OFFSET('Form Responses 1'!$E$2:$E$150, 0, ROW(A1)-1))</f>
        <v>1</v>
      </c>
      <c r="F2" s="8">
        <f>MAX(OFFSET('Form Responses 1'!$E$2:$E$150, 0, ROW(A1)-1))</f>
        <v>5</v>
      </c>
      <c r="H2" s="7">
        <v>1.0</v>
      </c>
      <c r="I2" s="9">
        <f>COUNTIF(Form_Responses[[Seberapa sering kamu menggunakan ChatGPT untuk kegiatan akademik?]:[Seberapa puas kamu dengan hasil yang diberikan ChatGPT?]],H2)</f>
        <v>7</v>
      </c>
      <c r="J2" s="9">
        <f>COUNTIF('Form Responses 1'!I9:L28,H2)</f>
        <v>16</v>
      </c>
      <c r="K2" s="9">
        <f>COUNTIF('Form Responses 1'!M9:P28,H2)</f>
        <v>27</v>
      </c>
    </row>
    <row r="3">
      <c r="A3" s="6" t="s">
        <v>86</v>
      </c>
      <c r="B3" s="8">
        <f>AVERAGE(Form_Responses[Seberapa sering kamu menggunakan ChatGPT untuk kegiatan non-akademik?])</f>
        <v>3.37037037</v>
      </c>
      <c r="C3" s="8">
        <f>MEDIAN(OFFSET('Form Responses 1'!$E$2:$E$150, 0, ROW(A2)-1))</f>
        <v>3</v>
      </c>
      <c r="D3" s="8">
        <f>_xlfn.STDEV.S(OFFSET('Form Responses 1'!$E$2:$E$150, 0, ROW(A2)-1))</f>
        <v>1.334401282</v>
      </c>
      <c r="E3" s="8">
        <f>MIN(OFFSET('Form Responses 1'!$E$2:$E$150, 0, ROW(A2)-1))</f>
        <v>1</v>
      </c>
      <c r="F3" s="8">
        <f>MAX(OFFSET('Form Responses 1'!$E$2:$E$150, 0, ROW(A2)-1))</f>
        <v>5</v>
      </c>
      <c r="H3" s="7">
        <v>2.0</v>
      </c>
      <c r="I3" s="9">
        <f>COUNTIF(Form_Responses[[Seberapa sering kamu menggunakan ChatGPT untuk kegiatan akademik?]:[Seberapa puas kamu dengan hasil yang diberikan ChatGPT?]],H3)</f>
        <v>21</v>
      </c>
      <c r="J3" s="9">
        <f>COUNTIF('Form Responses 1'!I10:L29,H3)</f>
        <v>10</v>
      </c>
      <c r="K3" s="9">
        <f>COUNTIF('Form Responses 1'!M10:P29,H3)</f>
        <v>6</v>
      </c>
    </row>
    <row r="4">
      <c r="A4" s="6" t="s">
        <v>87</v>
      </c>
      <c r="B4" s="8">
        <f>AVERAGE(Form_Responses[Seberapa sering kamu menggunakan ChatGPT untuk mencari informasi umum?])</f>
        <v>3.111111111</v>
      </c>
      <c r="C4" s="8">
        <f>MEDIAN(OFFSET('Form Responses 1'!$E$2:$E$150, 0, ROW(A3)-1))</f>
        <v>3</v>
      </c>
      <c r="D4" s="8">
        <f>_xlfn.STDEV.S(OFFSET('Form Responses 1'!$E$2:$E$150, 0, ROW(A3)-1))</f>
        <v>1.28102523</v>
      </c>
      <c r="E4" s="8">
        <f>MIN(OFFSET('Form Responses 1'!$E$2:$E$150, 0, ROW(A3)-1))</f>
        <v>1</v>
      </c>
      <c r="F4" s="8">
        <f>MAX(OFFSET('Form Responses 1'!$E$2:$E$150, 0, ROW(A3)-1))</f>
        <v>5</v>
      </c>
      <c r="H4" s="7">
        <v>3.0</v>
      </c>
      <c r="I4" s="9">
        <f>COUNTIF(Form_Responses[[Seberapa sering kamu menggunakan ChatGPT untuk kegiatan akademik?]:[Seberapa puas kamu dengan hasil yang diberikan ChatGPT?]],H4)</f>
        <v>31</v>
      </c>
      <c r="J4" s="9">
        <f>COUNTIF('Form Responses 1'!I11:L30,H4)</f>
        <v>17</v>
      </c>
      <c r="K4" s="9">
        <f>COUNTIF('Form Responses 1'!M11:P30,H4)</f>
        <v>9</v>
      </c>
    </row>
    <row r="5">
      <c r="A5" s="6" t="s">
        <v>88</v>
      </c>
      <c r="B5" s="8">
        <f>AVERAGE(Form_Responses[Seberapa puas kamu dengan hasil yang diberikan ChatGPT?])</f>
        <v>3.481481481</v>
      </c>
      <c r="C5" s="8">
        <f>MEDIAN(OFFSET('Form Responses 1'!$E$2:$E$150, 0, ROW(A4)-1))</f>
        <v>3</v>
      </c>
      <c r="D5" s="8">
        <f>_xlfn.STDEV.S(OFFSET('Form Responses 1'!$E$2:$E$150, 0, ROW(A4)-1))</f>
        <v>0.8489980688</v>
      </c>
      <c r="E5" s="8">
        <f>MIN(OFFSET('Form Responses 1'!$E$2:$E$150, 0, ROW(A4)-1))</f>
        <v>2</v>
      </c>
      <c r="F5" s="8">
        <f>MAX(OFFSET('Form Responses 1'!$E$2:$E$150, 0, ROW(A4)-1))</f>
        <v>5</v>
      </c>
      <c r="H5" s="7">
        <v>4.0</v>
      </c>
      <c r="I5" s="9">
        <f>COUNTIF(Form_Responses[[Seberapa sering kamu menggunakan ChatGPT untuk kegiatan akademik?]:[Seberapa puas kamu dengan hasil yang diberikan ChatGPT?]],H5)</f>
        <v>24</v>
      </c>
      <c r="J5" s="9">
        <f>COUNTIF('Form Responses 1'!I12:L31,H5)</f>
        <v>16</v>
      </c>
      <c r="K5" s="9">
        <f>COUNTIF('Form Responses 1'!M12:P31,H5)</f>
        <v>5</v>
      </c>
    </row>
    <row r="6">
      <c r="A6" s="6" t="s">
        <v>89</v>
      </c>
      <c r="B6" s="8">
        <f>AVERAGE('Form Responses 1'!I:I)</f>
        <v>2.962962963</v>
      </c>
      <c r="C6" s="8">
        <f>MEDIAN(OFFSET('Form Responses 1'!$E$2:$E$150, 0, ROW(A5)-1))</f>
        <v>3</v>
      </c>
      <c r="D6" s="8">
        <f>_xlfn.STDEV.S(OFFSET('Form Responses 1'!$E$2:$E$150, 0, ROW(A5)-1))</f>
        <v>1.531250908</v>
      </c>
      <c r="E6" s="8">
        <f>MIN(OFFSET('Form Responses 1'!$E$2:$E$150, 0, ROW(A5)-1))</f>
        <v>1</v>
      </c>
      <c r="F6" s="8">
        <f>MAX(OFFSET('Form Responses 1'!$E$2:$E$150, 0, ROW(A5)-1))</f>
        <v>5</v>
      </c>
      <c r="H6" s="7">
        <v>5.0</v>
      </c>
      <c r="I6" s="9">
        <f>COUNTIF(Form_Responses[[Seberapa sering kamu menggunakan ChatGPT untuk kegiatan akademik?]:[Seberapa puas kamu dengan hasil yang diberikan ChatGPT?]],H6)</f>
        <v>25</v>
      </c>
      <c r="J6" s="9">
        <f>COUNTIF('Form Responses 1'!I13:L32,H6)</f>
        <v>11</v>
      </c>
      <c r="K6" s="9">
        <f>COUNTIF('Form Responses 1'!M13:P32,H6)</f>
        <v>21</v>
      </c>
    </row>
    <row r="7">
      <c r="A7" s="6" t="s">
        <v>90</v>
      </c>
      <c r="B7" s="8">
        <f>AVERAGE('Form Responses 1'!J:J)</f>
        <v>2.814814815</v>
      </c>
      <c r="C7" s="8">
        <f>MEDIAN(OFFSET('Form Responses 1'!$E$2:$E$150, 0, ROW(A6)-1))</f>
        <v>3</v>
      </c>
      <c r="D7" s="8">
        <f>_xlfn.STDEV.S(OFFSET('Form Responses 1'!$E$2:$E$150, 0, ROW(A6)-1))</f>
        <v>1.359780441</v>
      </c>
      <c r="E7" s="8">
        <f>MIN(OFFSET('Form Responses 1'!$E$2:$E$150, 0, ROW(A6)-1))</f>
        <v>1</v>
      </c>
      <c r="F7" s="8">
        <f>MAX(OFFSET('Form Responses 1'!$E$2:$E$150, 0, ROW(A6)-1))</f>
        <v>5</v>
      </c>
    </row>
    <row r="8">
      <c r="A8" s="6" t="s">
        <v>91</v>
      </c>
      <c r="B8" s="8">
        <f>AVERAGE('Form Responses 1'!K:K)</f>
        <v>3.148148148</v>
      </c>
      <c r="C8" s="8">
        <f>MEDIAN(OFFSET('Form Responses 1'!$E$2:$E$150, 0, ROW(A7)-1))</f>
        <v>3</v>
      </c>
      <c r="D8" s="8">
        <f>_xlfn.STDEV.S(OFFSET('Form Responses 1'!$E$2:$E$150, 0, ROW(A7)-1))</f>
        <v>1.321528943</v>
      </c>
      <c r="E8" s="8">
        <f>MIN(OFFSET('Form Responses 1'!$E$2:$E$150, 0, ROW(A7)-1))</f>
        <v>1</v>
      </c>
      <c r="F8" s="8">
        <f>MAX(OFFSET('Form Responses 1'!$E$2:$E$150, 0, ROW(A7)-1))</f>
        <v>5</v>
      </c>
    </row>
    <row r="9">
      <c r="A9" s="6" t="s">
        <v>92</v>
      </c>
      <c r="B9" s="8">
        <f>AVERAGE('Form Responses 1'!L:L)</f>
        <v>3.407407407</v>
      </c>
      <c r="C9" s="8">
        <f>MEDIAN(OFFSET('Form Responses 1'!$E$2:$E$150, 0, ROW(A8)-1))</f>
        <v>3</v>
      </c>
      <c r="D9" s="8">
        <f>_xlfn.STDEV.S(OFFSET('Form Responses 1'!$E$2:$E$150, 0, ROW(A8)-1))</f>
        <v>1.185140669</v>
      </c>
      <c r="E9" s="8">
        <f>MIN(OFFSET('Form Responses 1'!$E$2:$E$150, 0, ROW(A8)-1))</f>
        <v>1</v>
      </c>
      <c r="F9" s="8">
        <f>MAX(OFFSET('Form Responses 1'!$E$2:$E$150, 0, ROW(A8)-1))</f>
        <v>5</v>
      </c>
    </row>
    <row r="10">
      <c r="A10" s="6" t="s">
        <v>93</v>
      </c>
      <c r="B10" s="8">
        <f>AVERAGE('Form Responses 1'!M:M)</f>
        <v>2.925925926</v>
      </c>
      <c r="C10" s="8">
        <f>MEDIAN(OFFSET('Form Responses 1'!$E$2:$E$150, 0, ROW(A9)-1))</f>
        <v>3</v>
      </c>
      <c r="D10" s="8">
        <f>_xlfn.STDEV.S(OFFSET('Form Responses 1'!$E$2:$E$150, 0, ROW(A9)-1))</f>
        <v>1.730405153</v>
      </c>
      <c r="E10" s="8">
        <f>MIN(OFFSET('Form Responses 1'!$E$2:$E$150, 0, ROW(A9)-1))</f>
        <v>1</v>
      </c>
      <c r="F10" s="8">
        <f>MAX(OFFSET('Form Responses 1'!$E$2:$E$150, 0, ROW(A9)-1))</f>
        <v>5</v>
      </c>
    </row>
    <row r="11">
      <c r="A11" s="6" t="s">
        <v>94</v>
      </c>
      <c r="B11" s="8">
        <f>AVERAGE('Form Responses 1'!N:N)</f>
        <v>2.518518519</v>
      </c>
      <c r="C11" s="8">
        <f>MEDIAN(OFFSET('Form Responses 1'!$E$2:$E$150, 0, ROW(A10)-1))</f>
        <v>2</v>
      </c>
      <c r="D11" s="8">
        <f>_xlfn.STDEV.S(OFFSET('Form Responses 1'!$E$2:$E$150, 0, ROW(A10)-1))</f>
        <v>1.672638872</v>
      </c>
      <c r="E11" s="8">
        <f>MIN(OFFSET('Form Responses 1'!$E$2:$E$150, 0, ROW(A10)-1))</f>
        <v>1</v>
      </c>
      <c r="F11" s="8">
        <f>MAX(OFFSET('Form Responses 1'!$E$2:$E$150, 0, ROW(A10)-1))</f>
        <v>5</v>
      </c>
    </row>
    <row r="12">
      <c r="A12" s="6" t="s">
        <v>95</v>
      </c>
      <c r="B12" s="8">
        <f>AVERAGE('Form Responses 1'!O:O)</f>
        <v>2.333333333</v>
      </c>
      <c r="C12" s="8">
        <f>MEDIAN(OFFSET('Form Responses 1'!$E$2:$E$150, 0, ROW(A11)-1))</f>
        <v>1</v>
      </c>
      <c r="D12" s="8">
        <f>_xlfn.STDEV.S(OFFSET('Form Responses 1'!$E$2:$E$150, 0, ROW(A11)-1))</f>
        <v>1.709700829</v>
      </c>
      <c r="E12" s="8">
        <f>MIN(OFFSET('Form Responses 1'!$E$2:$E$150, 0, ROW(A11)-1))</f>
        <v>1</v>
      </c>
      <c r="F12" s="8">
        <f>MAX(OFFSET('Form Responses 1'!$E$2:$E$150, 0, ROW(A11)-1))</f>
        <v>5</v>
      </c>
    </row>
    <row r="13">
      <c r="A13" s="6" t="s">
        <v>96</v>
      </c>
      <c r="B13" s="8">
        <f>AVERAGE('Form Responses 1'!P:P)</f>
        <v>3.37037037</v>
      </c>
      <c r="C13" s="8">
        <f>MEDIAN(OFFSET('Form Responses 1'!$E$2:$E$150, 0, ROW(A12)-1))</f>
        <v>4</v>
      </c>
      <c r="D13" s="8">
        <f>_xlfn.STDEV.S(OFFSET('Form Responses 1'!$E$2:$E$150, 0, ROW(A12)-1))</f>
        <v>1.735337434</v>
      </c>
      <c r="E13" s="8">
        <f>MIN(OFFSET('Form Responses 1'!$E$2:$E$150, 0, ROW(A12)-1))</f>
        <v>1</v>
      </c>
      <c r="F13" s="8">
        <f>MAX(OFFSET('Form Responses 1'!$E$2:$E$150, 0, ROW(A12)-1))</f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97</v>
      </c>
      <c r="B1" s="10" t="s">
        <v>98</v>
      </c>
      <c r="C1" s="10" t="s">
        <v>99</v>
      </c>
      <c r="D1" s="10" t="s">
        <v>100</v>
      </c>
      <c r="E1" s="10" t="s">
        <v>101</v>
      </c>
      <c r="F1" s="10" t="s">
        <v>102</v>
      </c>
      <c r="G1" s="10" t="s">
        <v>103</v>
      </c>
      <c r="H1" s="10" t="s">
        <v>104</v>
      </c>
      <c r="J1" s="7" t="s">
        <v>105</v>
      </c>
      <c r="K1" s="7" t="s">
        <v>106</v>
      </c>
      <c r="L1" s="7" t="s">
        <v>107</v>
      </c>
      <c r="M1" s="7" t="s">
        <v>108</v>
      </c>
      <c r="O1" s="7" t="s">
        <v>109</v>
      </c>
      <c r="Q1" s="7" t="s">
        <v>110</v>
      </c>
      <c r="R1" s="7" t="s">
        <v>106</v>
      </c>
      <c r="S1" s="7" t="s">
        <v>107</v>
      </c>
      <c r="T1" s="7" t="s">
        <v>108</v>
      </c>
      <c r="V1" s="7" t="s">
        <v>109</v>
      </c>
      <c r="X1" s="7" t="s">
        <v>111</v>
      </c>
      <c r="Y1" s="7" t="s">
        <v>106</v>
      </c>
      <c r="Z1" s="7" t="s">
        <v>107</v>
      </c>
      <c r="AA1" s="7" t="s">
        <v>108</v>
      </c>
      <c r="AC1" s="7" t="s">
        <v>109</v>
      </c>
      <c r="AD1" s="7"/>
      <c r="AE1" s="7" t="s">
        <v>112</v>
      </c>
      <c r="AF1" s="7" t="s">
        <v>106</v>
      </c>
      <c r="AG1" s="7" t="s">
        <v>107</v>
      </c>
      <c r="AH1" s="7" t="s">
        <v>108</v>
      </c>
      <c r="AJ1" s="7" t="s">
        <v>109</v>
      </c>
    </row>
    <row r="2">
      <c r="A2" s="7" t="s">
        <v>113</v>
      </c>
      <c r="B2" s="11">
        <f>IFERROR(AVERAGE('Form Responses 1'!E2:H2), "")</f>
        <v>2</v>
      </c>
      <c r="C2" s="11">
        <f>IFERROR(AVERAGE('Form Responses 1'!I2:L2), "")</f>
        <v>5</v>
      </c>
      <c r="D2" s="11">
        <f>IFERROR(AVERAGE('Form Responses 1'!M2:P2), "")</f>
        <v>3.5</v>
      </c>
      <c r="E2" s="9" t="str">
        <f t="array" ref="E2">MAX('Form Responses 1'!E2,'Form Responses 1'!I2,'Form Responses 1'!M2)&amp;" - "&amp;INDEX({"ChatGPT","Gemini","Claude"},MATCH(MAX('Form Responses 1'!E2,'Form Responses 1'!I2,'Form Responses 1'!M2),{'Form Responses 1'!E2,'Form Responses 1'!I2,'Form Responses 1'!M2},0))</f>
        <v>5 - Gemini</v>
      </c>
      <c r="F2" s="9" t="str">
        <f t="array" ref="F2">MAX('Form Responses 1'!F2,'Form Responses 1'!J2,'Form Responses 1'!N2)&amp;" - "&amp;INDEX({"ChatGPT","Gemini","Claude"},MATCH(MAX('Form Responses 1'!F2,'Form Responses 1'!J2,'Form Responses 1'!N2),{'Form Responses 1'!F2,'Form Responses 1'!J2,'Form Responses 1'!N2},0))</f>
        <v>5 - Gemini</v>
      </c>
      <c r="G2" s="9" t="str">
        <f t="array" ref="G2">MAX('Form Responses 1'!G2,'Form Responses 1'!K2,'Form Responses 1'!O2)&amp;" - "&amp;INDEX({"ChatGPT","Gemini","Claude"},MATCH(MAX('Form Responses 1'!G2,'Form Responses 1'!K2,'Form Responses 1'!O2),{'Form Responses 1'!G2,'Form Responses 1'!K2,'Form Responses 1'!O2},0))</f>
        <v>5 - Gemini</v>
      </c>
      <c r="H2" s="9" t="str">
        <f t="array" ref="H2">MAX('Form Responses 1'!H2,'Form Responses 1'!L2,'Form Responses 1'!P2)&amp;" - "&amp;INDEX({"ChatGPT","Gemini","Claude"},MATCH(MAX('Form Responses 1'!H2,'Form Responses 1'!L2,'Form Responses 1'!P2),{'Form Responses 1'!H2,'Form Responses 1'!L2,'Form Responses 1'!P2},0))</f>
        <v>5 - Gemini</v>
      </c>
      <c r="K2" s="7">
        <f>IFERROR(SQRT((B2-Cluster!$C$2)^2+(C2-Cluster!$D$2)^2+(D2-Cluster!$E$2)^2),"")</f>
        <v>4.82182538</v>
      </c>
      <c r="L2" s="9">
        <f>IFERROR(SQRT((B2-Cluster!$C$3)^2+(C2-Cluster!$D$3)^2+(D2-Cluster!$E$3)^2),"")</f>
        <v>2.061552813</v>
      </c>
      <c r="M2" s="9">
        <f>IFERROR(SQRT((B2-Cluster!$C$4)^2+(C2-Cluster!$D$4)^2+(D2-Cluster!$E$4)^2),"")</f>
        <v>4.387482194</v>
      </c>
      <c r="O2" s="7">
        <f t="shared" ref="O2:O28" si="1">IF(K2=MIN(K2,L2,M2),1,IF(L2=MIN(K2,L2,M2),2,3))</f>
        <v>2</v>
      </c>
      <c r="R2" s="7">
        <f>IFERROR(SQRT((B2-Cluster!$C$7)^2+(C2-Cluster!$D$7)^2+(D2-Cluster!$E$7)^2),"")</f>
        <v>4.847679857</v>
      </c>
      <c r="S2" s="9">
        <f>IFERROR(SQRT((B2-Cluster!$C$8)^2+(C2-Cluster!$D$8)^2+(D2-Cluster!$E$8)^2),"")</f>
        <v>2.263846285</v>
      </c>
      <c r="T2" s="9">
        <f>IFERROR(SQRT((B2-Cluster!$C$9)^2+(C2-Cluster!$D$9)^2+(D2-Cluster!$E$9)^2),"")</f>
        <v>4.160829244</v>
      </c>
      <c r="V2" s="9">
        <f t="shared" ref="V2:V28" si="2">IF(R2=MIN(R2,S2,T2),1,IF(S2=MIN(R2,S2,T2),2,3))</f>
        <v>2</v>
      </c>
      <c r="Y2" s="7">
        <f>IFERROR(SQRT((B2-Cluster!$C$12)^2+(C2-Cluster!$D$12)^2+(D2-Cluster!$E$12)^2),"")</f>
        <v>4.387482194</v>
      </c>
      <c r="Z2" s="9">
        <f>IFERROR(SQRT((B2-Cluster!$C$13)^2+(C2-Cluster!$D$13)^2+(D2-Cluster!$E$13)^2),"")</f>
        <v>1.600781059</v>
      </c>
      <c r="AA2" s="9">
        <f>IFERROR(SQRT((B2-Cluster!$C$14)^2+(C2-Cluster!$D$14)^2+(D2-Cluster!$E$14)^2),"")</f>
        <v>2.449489743</v>
      </c>
      <c r="AC2" s="9">
        <f t="shared" ref="AC2:AC28" si="3">IF(Y2=MIN(Y2,Z2,AA2),1,IF(Z2=MIN(Z2,Z2,AA2),2,3))</f>
        <v>2</v>
      </c>
      <c r="AF2" s="7">
        <f>IFERROR(SQRT((B2-Cluster!$C$17)^2+(C2-Cluster!$D$17)^2+(D2-Cluster!$E$17)^2),"")</f>
        <v>3.754996671</v>
      </c>
      <c r="AG2" s="9">
        <f>IFERROR(SQRT((B2-Cluster!$C$18)^2+(C2-Cluster!$D$18)^2+(D2-Cluster!$E$18)^2),"")</f>
        <v>1.813835715</v>
      </c>
      <c r="AH2" s="9">
        <f>IFERROR(SQRT((B2-Cluster!$C$19)^2+(C2-Cluster!$D$19)^2+(D2-Cluster!$E$19)^2),"")</f>
        <v>2.282542442</v>
      </c>
      <c r="AJ2" s="9">
        <f t="shared" ref="AJ2:AJ28" si="4">IF(AF2=MIN(AF2,AG2,AH2),1,IF(AG2=MIN(AF2,AG2,AH2),2,3))</f>
        <v>2</v>
      </c>
    </row>
    <row r="3">
      <c r="A3" s="7" t="s">
        <v>114</v>
      </c>
      <c r="B3" s="11">
        <f>IFERROR(AVERAGE('Form Responses 1'!E3:H3), "")</f>
        <v>3.5</v>
      </c>
      <c r="C3" s="11">
        <f>IFERROR(AVERAGE('Form Responses 1'!I3:L3), "")</f>
        <v>3</v>
      </c>
      <c r="D3" s="11">
        <f>IFERROR(AVERAGE('Form Responses 1'!M3:P3), "")</f>
        <v>5</v>
      </c>
      <c r="E3" s="9" t="str">
        <f t="array" ref="E3">MAX('Form Responses 1'!E3,'Form Responses 1'!I3,'Form Responses 1'!M3)&amp;" - "&amp;INDEX({"ChatGPT","Gemini","Claude"},MATCH(MAX('Form Responses 1'!E3,'Form Responses 1'!I3,'Form Responses 1'!M3),{'Form Responses 1'!E3,'Form Responses 1'!I3,'Form Responses 1'!M3},0))</f>
        <v>5 - Claude</v>
      </c>
      <c r="F3" s="9" t="str">
        <f t="array" ref="F3">MAX('Form Responses 1'!F3,'Form Responses 1'!J3,'Form Responses 1'!N3)&amp;" - "&amp;INDEX({"ChatGPT","Gemini","Claude"},MATCH(MAX('Form Responses 1'!F3,'Form Responses 1'!J3,'Form Responses 1'!N3),{'Form Responses 1'!F3,'Form Responses 1'!J3,'Form Responses 1'!N3},0))</f>
        <v>5 - Claude</v>
      </c>
      <c r="G3" s="9" t="str">
        <f t="array" ref="G3">MAX('Form Responses 1'!G3,'Form Responses 1'!K3,'Form Responses 1'!O3)&amp;" - "&amp;INDEX({"ChatGPT","Gemini","Claude"},MATCH(MAX('Form Responses 1'!G3,'Form Responses 1'!K3,'Form Responses 1'!O3),{'Form Responses 1'!G3,'Form Responses 1'!K3,'Form Responses 1'!O3},0))</f>
        <v>5 - Claude</v>
      </c>
      <c r="H3" s="9" t="str">
        <f t="array" ref="H3">MAX('Form Responses 1'!H3,'Form Responses 1'!L3,'Form Responses 1'!P3)&amp;" - "&amp;INDEX({"ChatGPT","Gemini","Claude"},MATCH(MAX('Form Responses 1'!H3,'Form Responses 1'!L3,'Form Responses 1'!P3),{'Form Responses 1'!H3,'Form Responses 1'!L3,'Form Responses 1'!P3},0))</f>
        <v>5 - Claude</v>
      </c>
      <c r="K3" s="7">
        <f>IFERROR(SQRT((B3-Cluster!$C$2)^2+(C3-Cluster!$D$2)^2+(D3-Cluster!$E$2)^2),"")</f>
        <v>5.123475383</v>
      </c>
      <c r="L3" s="9">
        <f>IFERROR(SQRT((B3-Cluster!$C$3)^2+(C3-Cluster!$D$3)^2+(D3-Cluster!$E$3)^2),"")</f>
        <v>1.802775638</v>
      </c>
      <c r="M3" s="9">
        <f>IFERROR(SQRT((B3-Cluster!$C$4)^2+(C3-Cluster!$D$4)^2+(D3-Cluster!$E$4)^2),"")</f>
        <v>4.272001873</v>
      </c>
      <c r="O3" s="7">
        <f t="shared" si="1"/>
        <v>2</v>
      </c>
      <c r="R3" s="7">
        <f>IFERROR(SQRT((B3-Cluster!$C$7)^2+(C3-Cluster!$D$7)^2+(D3-Cluster!$E$7)^2),"")</f>
        <v>3.674234614</v>
      </c>
      <c r="S3" s="9">
        <f>IFERROR(SQRT((B3-Cluster!$C$8)^2+(C3-Cluster!$D$8)^2+(D3-Cluster!$E$8)^2),"")</f>
        <v>4.430011287</v>
      </c>
      <c r="T3" s="9">
        <f>IFERROR(SQRT((B3-Cluster!$C$9)^2+(C3-Cluster!$D$9)^2+(D3-Cluster!$E$9)^2),"")</f>
        <v>3.051638904</v>
      </c>
      <c r="V3" s="9">
        <f t="shared" si="2"/>
        <v>3</v>
      </c>
      <c r="Y3" s="7">
        <f>IFERROR(SQRT((B3-Cluster!$C$12)^2+(C3-Cluster!$D$12)^2+(D3-Cluster!$E$12)^2),"")</f>
        <v>4.153311931</v>
      </c>
      <c r="Z3" s="9">
        <f>IFERROR(SQRT((B3-Cluster!$C$13)^2+(C3-Cluster!$D$13)^2+(D3-Cluster!$E$13)^2),"")</f>
        <v>3.614208074</v>
      </c>
      <c r="AA3" s="9">
        <f>IFERROR(SQRT((B3-Cluster!$C$14)^2+(C3-Cluster!$D$14)^2+(D3-Cluster!$E$14)^2),"")</f>
        <v>0.7071067812</v>
      </c>
      <c r="AC3" s="9">
        <f t="shared" si="3"/>
        <v>3</v>
      </c>
      <c r="AF3" s="7">
        <f>IFERROR(SQRT((B3-Cluster!$C$17)^2+(C3-Cluster!$D$17)^2+(D3-Cluster!$E$17)^2),"")</f>
        <v>3.834057903</v>
      </c>
      <c r="AG3" s="9">
        <f>IFERROR(SQRT((B3-Cluster!$C$18)^2+(C3-Cluster!$D$18)^2+(D3-Cluster!$E$18)^2),"")</f>
        <v>4.3</v>
      </c>
      <c r="AH3" s="9">
        <f>IFERROR(SQRT((B3-Cluster!$C$19)^2+(C3-Cluster!$D$19)^2+(D3-Cluster!$E$19)^2),"")</f>
        <v>1.1</v>
      </c>
      <c r="AJ3" s="9">
        <f t="shared" si="4"/>
        <v>3</v>
      </c>
    </row>
    <row r="4">
      <c r="A4" s="7" t="s">
        <v>115</v>
      </c>
      <c r="B4" s="11">
        <f>IFERROR(AVERAGE('Form Responses 1'!E4:H4), "")</f>
        <v>4</v>
      </c>
      <c r="C4" s="11">
        <f>IFERROR(AVERAGE('Form Responses 1'!I4:L4), "")</f>
        <v>1.75</v>
      </c>
      <c r="D4" s="11">
        <f>IFERROR(AVERAGE('Form Responses 1'!M4:P4), "")</f>
        <v>1</v>
      </c>
      <c r="E4" s="9" t="str">
        <f t="array" ref="E4">MAX('Form Responses 1'!E4,'Form Responses 1'!I4,'Form Responses 1'!M4)&amp;" - "&amp;INDEX({"ChatGPT","Gemini","Claude"},MATCH(MAX('Form Responses 1'!E4,'Form Responses 1'!I4,'Form Responses 1'!M4),{'Form Responses 1'!E4,'Form Responses 1'!I4,'Form Responses 1'!M4},0))</f>
        <v>4 - ChatGPT</v>
      </c>
      <c r="F4" s="9" t="str">
        <f t="array" ref="F4">MAX('Form Responses 1'!F4,'Form Responses 1'!J4,'Form Responses 1'!N4)&amp;" - "&amp;INDEX({"ChatGPT","Gemini","Claude"},MATCH(MAX('Form Responses 1'!F4,'Form Responses 1'!J4,'Form Responses 1'!N4),{'Form Responses 1'!F4,'Form Responses 1'!J4,'Form Responses 1'!N4},0))</f>
        <v>4 - ChatGPT</v>
      </c>
      <c r="G4" s="9" t="str">
        <f t="array" ref="G4">MAX('Form Responses 1'!G4,'Form Responses 1'!K4,'Form Responses 1'!O4)&amp;" - "&amp;INDEX({"ChatGPT","Gemini","Claude"},MATCH(MAX('Form Responses 1'!G4,'Form Responses 1'!K4,'Form Responses 1'!O4),{'Form Responses 1'!G4,'Form Responses 1'!K4,'Form Responses 1'!O4},0))</f>
        <v>4 - ChatGPT</v>
      </c>
      <c r="H4" s="9" t="str">
        <f t="array" ref="H4">MAX('Form Responses 1'!H4,'Form Responses 1'!L4,'Form Responses 1'!P4)&amp;" - "&amp;INDEX({"ChatGPT","Gemini","Claude"},MATCH(MAX('Form Responses 1'!H4,'Form Responses 1'!L4,'Form Responses 1'!P4),{'Form Responses 1'!H4,'Form Responses 1'!L4,'Form Responses 1'!P4},0))</f>
        <v>4 - ChatGPT</v>
      </c>
      <c r="K4" s="7">
        <f>IFERROR(SQRT((B4-Cluster!$C$2)^2+(C4-Cluster!$D$2)^2+(D4-Cluster!$E$2)^2),"")</f>
        <v>3.092329219</v>
      </c>
      <c r="L4" s="9">
        <f>IFERROR(SQRT((B4-Cluster!$C$3)^2+(C4-Cluster!$D$3)^2+(D4-Cluster!$E$3)^2),"")</f>
        <v>3.816084381</v>
      </c>
      <c r="M4" s="9">
        <f>IFERROR(SQRT((B4-Cluster!$C$4)^2+(C4-Cluster!$D$4)^2+(D4-Cluster!$E$4)^2),"")</f>
        <v>1.600781059</v>
      </c>
      <c r="O4" s="7">
        <f t="shared" si="1"/>
        <v>3</v>
      </c>
      <c r="R4" s="7">
        <f>IFERROR(SQRT((B4-Cluster!$C$7)^2+(C4-Cluster!$D$7)^2+(D4-Cluster!$E$7)^2),"")</f>
        <v>1.436140662</v>
      </c>
      <c r="S4" s="9">
        <f>IFERROR(SQRT((B4-Cluster!$C$8)^2+(C4-Cluster!$D$8)^2+(D4-Cluster!$E$8)^2),"")</f>
        <v>3.699662147</v>
      </c>
      <c r="T4" s="9">
        <f>IFERROR(SQRT((B4-Cluster!$C$9)^2+(C4-Cluster!$D$9)^2+(D4-Cluster!$E$9)^2),"")</f>
        <v>5.024937811</v>
      </c>
      <c r="V4" s="9">
        <f t="shared" si="2"/>
        <v>1</v>
      </c>
      <c r="Y4" s="7">
        <f>IFERROR(SQRT((B4-Cluster!$C$12)^2+(C4-Cluster!$D$12)^2+(D4-Cluster!$E$12)^2),"")</f>
        <v>0.25</v>
      </c>
      <c r="Z4" s="9">
        <f>IFERROR(SQRT((B4-Cluster!$C$13)^2+(C4-Cluster!$D$13)^2+(D4-Cluster!$E$13)^2),"")</f>
        <v>3.5</v>
      </c>
      <c r="AA4" s="9">
        <f>IFERROR(SQRT((B4-Cluster!$C$14)^2+(C4-Cluster!$D$14)^2+(D4-Cluster!$E$14)^2),"")</f>
        <v>3.84870108</v>
      </c>
      <c r="AC4" s="9">
        <f t="shared" si="3"/>
        <v>1</v>
      </c>
      <c r="AF4" s="7">
        <f>IFERROR(SQRT((B4-Cluster!$C$17)^2+(C4-Cluster!$D$17)^2+(D4-Cluster!$E$17)^2),"")</f>
        <v>0.8732124598</v>
      </c>
      <c r="AG4" s="9">
        <f>IFERROR(SQRT((B4-Cluster!$C$18)^2+(C4-Cluster!$D$18)^2+(D4-Cluster!$E$18)^2),"")</f>
        <v>4.39346105</v>
      </c>
      <c r="AH4" s="9">
        <f>IFERROR(SQRT((B4-Cluster!$C$19)^2+(C4-Cluster!$D$19)^2+(D4-Cluster!$E$19)^2),"")</f>
        <v>3.622499137</v>
      </c>
      <c r="AJ4" s="9">
        <f t="shared" si="4"/>
        <v>1</v>
      </c>
    </row>
    <row r="5">
      <c r="A5" s="7" t="s">
        <v>116</v>
      </c>
      <c r="B5" s="11">
        <f>IFERROR(AVERAGE('Form Responses 1'!E5:H5), "")</f>
        <v>5</v>
      </c>
      <c r="C5" s="11">
        <f>IFERROR(AVERAGE('Form Responses 1'!I5:L5), "")</f>
        <v>4</v>
      </c>
      <c r="D5" s="11">
        <f>IFERROR(AVERAGE('Form Responses 1'!M5:P5), "")</f>
        <v>1</v>
      </c>
      <c r="E5" s="9" t="str">
        <f t="array" ref="E5">MAX('Form Responses 1'!E5,'Form Responses 1'!I5,'Form Responses 1'!M5)&amp;" - "&amp;INDEX({"ChatGPT","Gemini","Claude"},MATCH(MAX('Form Responses 1'!E5,'Form Responses 1'!I5,'Form Responses 1'!M5),{'Form Responses 1'!E5,'Form Responses 1'!I5,'Form Responses 1'!M5},0))</f>
        <v>5 - ChatGPT</v>
      </c>
      <c r="F5" s="9" t="str">
        <f t="array" ref="F5">MAX('Form Responses 1'!F5,'Form Responses 1'!J5,'Form Responses 1'!N5)&amp;" - "&amp;INDEX({"ChatGPT","Gemini","Claude"},MATCH(MAX('Form Responses 1'!F5,'Form Responses 1'!J5,'Form Responses 1'!N5),{'Form Responses 1'!F5,'Form Responses 1'!J5,'Form Responses 1'!N5},0))</f>
        <v>5 - ChatGPT</v>
      </c>
      <c r="G5" s="9" t="str">
        <f t="array" ref="G5">MAX('Form Responses 1'!G5,'Form Responses 1'!K5,'Form Responses 1'!O5)&amp;" - "&amp;INDEX({"ChatGPT","Gemini","Claude"},MATCH(MAX('Form Responses 1'!G5,'Form Responses 1'!K5,'Form Responses 1'!O5),{'Form Responses 1'!G5,'Form Responses 1'!K5,'Form Responses 1'!O5},0))</f>
        <v>5 - ChatGPT</v>
      </c>
      <c r="H5" s="9" t="str">
        <f t="array" ref="H5">MAX('Form Responses 1'!H5,'Form Responses 1'!L5,'Form Responses 1'!P5)&amp;" - "&amp;INDEX({"ChatGPT","Gemini","Claude"},MATCH(MAX('Form Responses 1'!H5,'Form Responses 1'!L5,'Form Responses 1'!P5),{'Form Responses 1'!H5,'Form Responses 1'!L5,'Form Responses 1'!P5},0))</f>
        <v>5 - ChatGPT</v>
      </c>
      <c r="K5" s="7">
        <f>IFERROR(SQRT((B5-Cluster!$C$2)^2+(C5-Cluster!$D$2)^2+(D5-Cluster!$E$2)^2),"")</f>
        <v>5</v>
      </c>
      <c r="L5" s="9">
        <f>IFERROR(SQRT((B5-Cluster!$C$3)^2+(C5-Cluster!$D$3)^2+(D5-Cluster!$E$3)^2),"")</f>
        <v>4.358898944</v>
      </c>
      <c r="M5" s="9">
        <f>IFERROR(SQRT((B5-Cluster!$C$4)^2+(C5-Cluster!$D$4)^2+(D5-Cluster!$E$4)^2),"")</f>
        <v>1</v>
      </c>
      <c r="O5" s="7">
        <f t="shared" si="1"/>
        <v>3</v>
      </c>
      <c r="R5" s="7">
        <f>IFERROR(SQRT((B5-Cluster!$C$7)^2+(C5-Cluster!$D$7)^2+(D5-Cluster!$E$7)^2),"")</f>
        <v>2.692582404</v>
      </c>
      <c r="S5" s="9">
        <f>IFERROR(SQRT((B5-Cluster!$C$8)^2+(C5-Cluster!$D$8)^2+(D5-Cluster!$E$8)^2),"")</f>
        <v>2.936835031</v>
      </c>
      <c r="T5" s="9">
        <f>IFERROR(SQRT((B5-Cluster!$C$9)^2+(C5-Cluster!$D$9)^2+(D5-Cluster!$E$9)^2),"")</f>
        <v>6.289872813</v>
      </c>
      <c r="V5" s="9">
        <f t="shared" si="2"/>
        <v>1</v>
      </c>
      <c r="Y5" s="7">
        <f>IFERROR(SQRT((B5-Cluster!$C$12)^2+(C5-Cluster!$D$12)^2+(D5-Cluster!$E$12)^2),"")</f>
        <v>2.236067977</v>
      </c>
      <c r="Z5" s="9">
        <f>IFERROR(SQRT((B5-Cluster!$C$13)^2+(C5-Cluster!$D$13)^2+(D5-Cluster!$E$13)^2),"")</f>
        <v>2.795084972</v>
      </c>
      <c r="AA5" s="9">
        <f>IFERROR(SQRT((B5-Cluster!$C$14)^2+(C5-Cluster!$D$14)^2+(D5-Cluster!$E$14)^2),"")</f>
        <v>4.153311931</v>
      </c>
      <c r="AC5" s="9">
        <f t="shared" si="3"/>
        <v>1</v>
      </c>
      <c r="AF5" s="7">
        <f>IFERROR(SQRT((B5-Cluster!$C$17)^2+(C5-Cluster!$D$17)^2+(D5-Cluster!$E$17)^2),"")</f>
        <v>2.061552813</v>
      </c>
      <c r="AG5" s="9">
        <f>IFERROR(SQRT((B5-Cluster!$C$18)^2+(C5-Cluster!$D$18)^2+(D5-Cluster!$E$18)^2),"")</f>
        <v>4.2</v>
      </c>
      <c r="AH5" s="9">
        <f>IFERROR(SQRT((B5-Cluster!$C$19)^2+(C5-Cluster!$D$19)^2+(D5-Cluster!$E$19)^2),"")</f>
        <v>3.385262176</v>
      </c>
      <c r="AJ5" s="9">
        <f t="shared" si="4"/>
        <v>1</v>
      </c>
    </row>
    <row r="6">
      <c r="A6" s="7" t="s">
        <v>117</v>
      </c>
      <c r="B6" s="11">
        <f>IFERROR(AVERAGE('Form Responses 1'!E6:H6), "")</f>
        <v>3.75</v>
      </c>
      <c r="C6" s="11">
        <f>IFERROR(AVERAGE('Form Responses 1'!I6:L6), "")</f>
        <v>2.5</v>
      </c>
      <c r="D6" s="11">
        <f>IFERROR(AVERAGE('Form Responses 1'!M6:P6), "")</f>
        <v>1</v>
      </c>
      <c r="E6" s="9" t="str">
        <f t="array" ref="E6">MAX('Form Responses 1'!E6,'Form Responses 1'!I6,'Form Responses 1'!M6)&amp;" - "&amp;INDEX({"ChatGPT","Gemini","Claude"},MATCH(MAX('Form Responses 1'!E6,'Form Responses 1'!I6,'Form Responses 1'!M6),{'Form Responses 1'!E6,'Form Responses 1'!I6,'Form Responses 1'!M6},0))</f>
        <v>5 - ChatGPT</v>
      </c>
      <c r="F6" s="9" t="str">
        <f t="array" ref="F6">MAX('Form Responses 1'!F6,'Form Responses 1'!J6,'Form Responses 1'!N6)&amp;" - "&amp;INDEX({"ChatGPT","Gemini","Claude"},MATCH(MAX('Form Responses 1'!F6,'Form Responses 1'!J6,'Form Responses 1'!N6),{'Form Responses 1'!F6,'Form Responses 1'!J6,'Form Responses 1'!N6},0))</f>
        <v>5 - ChatGPT</v>
      </c>
      <c r="G6" s="9" t="str">
        <f t="array" ref="G6">MAX('Form Responses 1'!G6,'Form Responses 1'!K6,'Form Responses 1'!O6)&amp;" - "&amp;INDEX({"ChatGPT","Gemini","Claude"},MATCH(MAX('Form Responses 1'!G6,'Form Responses 1'!K6,'Form Responses 1'!O6),{'Form Responses 1'!G6,'Form Responses 1'!K6,'Form Responses 1'!O6},0))</f>
        <v>3 - Gemini</v>
      </c>
      <c r="H6" s="9" t="str">
        <f t="array" ref="H6">MAX('Form Responses 1'!H6,'Form Responses 1'!L6,'Form Responses 1'!P6)&amp;" - "&amp;INDEX({"ChatGPT","Gemini","Claude"},MATCH(MAX('Form Responses 1'!H6,'Form Responses 1'!L6,'Form Responses 1'!P6),{'Form Responses 1'!H6,'Form Responses 1'!L6,'Form Responses 1'!P6},0))</f>
        <v>4 - ChatGPT</v>
      </c>
      <c r="K6" s="7">
        <f>IFERROR(SQRT((B6-Cluster!$C$2)^2+(C6-Cluster!$D$2)^2+(D6-Cluster!$E$2)^2),"")</f>
        <v>3.132491022</v>
      </c>
      <c r="L6" s="9">
        <f>IFERROR(SQRT((B6-Cluster!$C$3)^2+(C6-Cluster!$D$3)^2+(D6-Cluster!$E$3)^2),"")</f>
        <v>3.508917212</v>
      </c>
      <c r="M6" s="9">
        <f>IFERROR(SQRT((B6-Cluster!$C$4)^2+(C6-Cluster!$D$4)^2+(D6-Cluster!$E$4)^2),"")</f>
        <v>1.346291202</v>
      </c>
      <c r="O6" s="7">
        <f t="shared" si="1"/>
        <v>3</v>
      </c>
      <c r="R6" s="7">
        <f>IFERROR(SQRT((B6-Cluster!$C$7)^2+(C6-Cluster!$D$7)^2+(D6-Cluster!$E$7)^2),"")</f>
        <v>1.887458609</v>
      </c>
      <c r="S6" s="9">
        <f>IFERROR(SQRT((B6-Cluster!$C$8)^2+(C6-Cluster!$D$8)^2+(D6-Cluster!$E$8)^2),"")</f>
        <v>2.926174978</v>
      </c>
      <c r="T6" s="9">
        <f>IFERROR(SQRT((B6-Cluster!$C$9)^2+(C6-Cluster!$D$9)^2+(D6-Cluster!$E$9)^2),"")</f>
        <v>5.012484414</v>
      </c>
      <c r="V6" s="9">
        <f t="shared" si="2"/>
        <v>1</v>
      </c>
      <c r="Y6" s="7">
        <f>IFERROR(SQRT((B6-Cluster!$C$12)^2+(C6-Cluster!$D$12)^2+(D6-Cluster!$E$12)^2),"")</f>
        <v>0.5590169944</v>
      </c>
      <c r="Z6" s="9">
        <f>IFERROR(SQRT((B6-Cluster!$C$13)^2+(C6-Cluster!$D$13)^2+(D6-Cluster!$E$13)^2),"")</f>
        <v>2.761340254</v>
      </c>
      <c r="AA6" s="9">
        <f>IFERROR(SQRT((B6-Cluster!$C$14)^2+(C6-Cluster!$D$14)^2+(D6-Cluster!$E$14)^2),"")</f>
        <v>3.614208074</v>
      </c>
      <c r="AC6" s="9">
        <f t="shared" si="3"/>
        <v>1</v>
      </c>
      <c r="AF6" s="7">
        <f>IFERROR(SQRT((B6-Cluster!$C$17)^2+(C6-Cluster!$D$17)^2+(D6-Cluster!$E$17)^2),"")</f>
        <v>0.25</v>
      </c>
      <c r="AG6" s="9">
        <f>IFERROR(SQRT((B6-Cluster!$C$18)^2+(C6-Cluster!$D$18)^2+(D6-Cluster!$E$18)^2),"")</f>
        <v>3.721894679</v>
      </c>
      <c r="AH6" s="9">
        <f>IFERROR(SQRT((B6-Cluster!$C$19)^2+(C6-Cluster!$D$19)^2+(D6-Cluster!$E$19)^2),"")</f>
        <v>3.28975683</v>
      </c>
      <c r="AJ6" s="9">
        <f t="shared" si="4"/>
        <v>1</v>
      </c>
    </row>
    <row r="7">
      <c r="A7" s="7" t="s">
        <v>118</v>
      </c>
      <c r="B7" s="11">
        <f>IFERROR(AVERAGE('Form Responses 1'!E7:H7), "")</f>
        <v>4.5</v>
      </c>
      <c r="C7" s="11">
        <f>IFERROR(AVERAGE('Form Responses 1'!I7:L7), "")</f>
        <v>4</v>
      </c>
      <c r="D7" s="11">
        <f>IFERROR(AVERAGE('Form Responses 1'!M7:P7), "")</f>
        <v>1</v>
      </c>
      <c r="E7" s="9" t="str">
        <f t="array" ref="E7">MAX('Form Responses 1'!E7,'Form Responses 1'!I7,'Form Responses 1'!M7)&amp;" - "&amp;INDEX({"ChatGPT","Gemini","Claude"},MATCH(MAX('Form Responses 1'!E7,'Form Responses 1'!I7,'Form Responses 1'!M7),{'Form Responses 1'!E7,'Form Responses 1'!I7,'Form Responses 1'!M7},0))</f>
        <v>5 - ChatGPT</v>
      </c>
      <c r="F7" s="9" t="str">
        <f t="array" ref="F7">MAX('Form Responses 1'!F7,'Form Responses 1'!J7,'Form Responses 1'!N7)&amp;" - "&amp;INDEX({"ChatGPT","Gemini","Claude"},MATCH(MAX('Form Responses 1'!F7,'Form Responses 1'!J7,'Form Responses 1'!N7),{'Form Responses 1'!F7,'Form Responses 1'!J7,'Form Responses 1'!N7},0))</f>
        <v>5 - ChatGPT</v>
      </c>
      <c r="G7" s="9" t="str">
        <f t="array" ref="G7">MAX('Form Responses 1'!G7,'Form Responses 1'!K7,'Form Responses 1'!O7)&amp;" - "&amp;INDEX({"ChatGPT","Gemini","Claude"},MATCH(MAX('Form Responses 1'!G7,'Form Responses 1'!K7,'Form Responses 1'!O7),{'Form Responses 1'!G7,'Form Responses 1'!K7,'Form Responses 1'!O7},0))</f>
        <v>4 - ChatGPT</v>
      </c>
      <c r="H7" s="9" t="str">
        <f t="array" ref="H7">MAX('Form Responses 1'!H7,'Form Responses 1'!L7,'Form Responses 1'!P7)&amp;" - "&amp;INDEX({"ChatGPT","Gemini","Claude"},MATCH(MAX('Form Responses 1'!H7,'Form Responses 1'!L7,'Form Responses 1'!P7),{'Form Responses 1'!H7,'Form Responses 1'!L7,'Form Responses 1'!P7},0))</f>
        <v>4 - ChatGPT</v>
      </c>
      <c r="K7" s="7">
        <f>IFERROR(SQRT((B7-Cluster!$C$2)^2+(C7-Cluster!$D$2)^2+(D7-Cluster!$E$2)^2),"")</f>
        <v>4.609772229</v>
      </c>
      <c r="L7" s="9">
        <f>IFERROR(SQRT((B7-Cluster!$C$3)^2+(C7-Cluster!$D$3)^2+(D7-Cluster!$E$3)^2),"")</f>
        <v>4.031128874</v>
      </c>
      <c r="M7" s="9">
        <f>IFERROR(SQRT((B7-Cluster!$C$4)^2+(C7-Cluster!$D$4)^2+(D7-Cluster!$E$4)^2),"")</f>
        <v>1.118033989</v>
      </c>
      <c r="O7" s="7">
        <f t="shared" si="1"/>
        <v>3</v>
      </c>
      <c r="R7" s="7">
        <f>IFERROR(SQRT((B7-Cluster!$C$7)^2+(C7-Cluster!$D$7)^2+(D7-Cluster!$E$7)^2),"")</f>
        <v>2.738612788</v>
      </c>
      <c r="S7" s="9">
        <f>IFERROR(SQRT((B7-Cluster!$C$8)^2+(C7-Cluster!$D$8)^2+(D7-Cluster!$E$8)^2),"")</f>
        <v>2.474873734</v>
      </c>
      <c r="T7" s="9">
        <f>IFERROR(SQRT((B7-Cluster!$C$9)^2+(C7-Cluster!$D$9)^2+(D7-Cluster!$E$9)^2),"")</f>
        <v>5.984354602</v>
      </c>
      <c r="V7" s="9">
        <f t="shared" si="2"/>
        <v>2</v>
      </c>
      <c r="Y7" s="7">
        <f>IFERROR(SQRT((B7-Cluster!$C$12)^2+(C7-Cluster!$D$12)^2+(D7-Cluster!$E$12)^2),"")</f>
        <v>2.061552813</v>
      </c>
      <c r="Z7" s="9">
        <f>IFERROR(SQRT((B7-Cluster!$C$13)^2+(C7-Cluster!$D$13)^2+(D7-Cluster!$E$13)^2),"")</f>
        <v>2.358495283</v>
      </c>
      <c r="AA7" s="9">
        <f>IFERROR(SQRT((B7-Cluster!$C$14)^2+(C7-Cluster!$D$14)^2+(D7-Cluster!$E$14)^2),"")</f>
        <v>3.937003937</v>
      </c>
      <c r="AC7" s="9">
        <f t="shared" si="3"/>
        <v>1</v>
      </c>
      <c r="AF7" s="7">
        <f>IFERROR(SQRT((B7-Cluster!$C$17)^2+(C7-Cluster!$D$17)^2+(D7-Cluster!$E$17)^2),"")</f>
        <v>1.760681686</v>
      </c>
      <c r="AG7" s="9">
        <f>IFERROR(SQRT((B7-Cluster!$C$18)^2+(C7-Cluster!$D$18)^2+(D7-Cluster!$E$18)^2),"")</f>
        <v>3.726929031</v>
      </c>
      <c r="AH7" s="9">
        <f>IFERROR(SQRT((B7-Cluster!$C$19)^2+(C7-Cluster!$D$19)^2+(D7-Cluster!$E$19)^2),"")</f>
        <v>3.226453161</v>
      </c>
      <c r="AJ7" s="9">
        <f t="shared" si="4"/>
        <v>1</v>
      </c>
    </row>
    <row r="8">
      <c r="A8" s="7" t="s">
        <v>119</v>
      </c>
      <c r="B8" s="11">
        <f>IFERROR(AVERAGE('Form Responses 1'!E8:H8), "")</f>
        <v>3.25</v>
      </c>
      <c r="C8" s="11">
        <f>IFERROR(AVERAGE('Form Responses 1'!I8:L8), "")</f>
        <v>3.25</v>
      </c>
      <c r="D8" s="11">
        <f>IFERROR(AVERAGE('Form Responses 1'!M8:P8), "")</f>
        <v>3.25</v>
      </c>
      <c r="E8" s="9" t="str">
        <f t="array" ref="E8">MAX('Form Responses 1'!E8,'Form Responses 1'!I8,'Form Responses 1'!M8)&amp;" - "&amp;INDEX({"ChatGPT","Gemini","Claude"},MATCH(MAX('Form Responses 1'!E8,'Form Responses 1'!I8,'Form Responses 1'!M8),{'Form Responses 1'!E8,'Form Responses 1'!I8,'Form Responses 1'!M8},0))</f>
        <v>5 - ChatGPT</v>
      </c>
      <c r="F8" s="9" t="str">
        <f t="array" ref="F8">MAX('Form Responses 1'!F8,'Form Responses 1'!J8,'Form Responses 1'!N8)&amp;" - "&amp;INDEX({"ChatGPT","Gemini","Claude"},MATCH(MAX('Form Responses 1'!F8,'Form Responses 1'!J8,'Form Responses 1'!N8),{'Form Responses 1'!F8,'Form Responses 1'!J8,'Form Responses 1'!N8},0))</f>
        <v>3 - ChatGPT</v>
      </c>
      <c r="G8" s="9" t="str">
        <f t="array" ref="G8">MAX('Form Responses 1'!G8,'Form Responses 1'!K8,'Form Responses 1'!O8)&amp;" - "&amp;INDEX({"ChatGPT","Gemini","Claude"},MATCH(MAX('Form Responses 1'!G8,'Form Responses 1'!K8,'Form Responses 1'!O8),{'Form Responses 1'!G8,'Form Responses 1'!K8,'Form Responses 1'!O8},0))</f>
        <v>3 - ChatGPT</v>
      </c>
      <c r="H8" s="9" t="str">
        <f t="array" ref="H8">MAX('Form Responses 1'!H8,'Form Responses 1'!L8,'Form Responses 1'!P8)&amp;" - "&amp;INDEX({"ChatGPT","Gemini","Claude"},MATCH(MAX('Form Responses 1'!H8,'Form Responses 1'!L8,'Form Responses 1'!P8),{'Form Responses 1'!H8,'Form Responses 1'!L8,'Form Responses 1'!P8},0))</f>
        <v>4 - Claude</v>
      </c>
      <c r="K8" s="7">
        <f>IFERROR(SQRT((B8-Cluster!$C$2)^2+(C8-Cluster!$D$2)^2+(D8-Cluster!$E$2)^2),"")</f>
        <v>3.897114317</v>
      </c>
      <c r="L8" s="9">
        <f>IFERROR(SQRT((B8-Cluster!$C$3)^2+(C8-Cluster!$D$3)^2+(D8-Cluster!$E$3)^2),"")</f>
        <v>1.479019946</v>
      </c>
      <c r="M8" s="9">
        <f>IFERROR(SQRT((B8-Cluster!$C$4)^2+(C8-Cluster!$D$4)^2+(D8-Cluster!$E$4)^2),"")</f>
        <v>2.861380786</v>
      </c>
      <c r="O8" s="7">
        <f t="shared" si="1"/>
        <v>2</v>
      </c>
      <c r="R8" s="7">
        <f>IFERROR(SQRT((B8-Cluster!$C$7)^2+(C8-Cluster!$D$7)^2+(D8-Cluster!$E$7)^2),"")</f>
        <v>2.772634127</v>
      </c>
      <c r="S8" s="9">
        <f>IFERROR(SQRT((B8-Cluster!$C$8)^2+(C8-Cluster!$D$8)^2+(D8-Cluster!$E$8)^2),"")</f>
        <v>2.839454173</v>
      </c>
      <c r="T8" s="9">
        <f>IFERROR(SQRT((B8-Cluster!$C$9)^2+(C8-Cluster!$D$9)^2+(D8-Cluster!$E$9)^2),"")</f>
        <v>3.482097069</v>
      </c>
      <c r="V8" s="9">
        <f t="shared" si="2"/>
        <v>1</v>
      </c>
      <c r="Y8" s="7">
        <f>IFERROR(SQRT((B8-Cluster!$C$12)^2+(C8-Cluster!$D$12)^2+(D8-Cluster!$E$12)^2),"")</f>
        <v>2.680951324</v>
      </c>
      <c r="Z8" s="9">
        <f>IFERROR(SQRT((B8-Cluster!$C$13)^2+(C8-Cluster!$D$13)^2+(D8-Cluster!$E$13)^2),"")</f>
        <v>2.091650066</v>
      </c>
      <c r="AA8" s="9">
        <f>IFERROR(SQRT((B8-Cluster!$C$14)^2+(C8-Cluster!$D$14)^2+(D8-Cluster!$E$14)^2),"")</f>
        <v>1.299038106</v>
      </c>
      <c r="AC8" s="9">
        <f t="shared" si="3"/>
        <v>3</v>
      </c>
      <c r="AF8" s="7">
        <f>IFERROR(SQRT((B8-Cluster!$C$17)^2+(C8-Cluster!$D$17)^2+(D8-Cluster!$E$17)^2),"")</f>
        <v>2.210769097</v>
      </c>
      <c r="AG8" s="9">
        <f>IFERROR(SQRT((B8-Cluster!$C$18)^2+(C8-Cluster!$D$18)^2+(D8-Cluster!$E$18)^2),"")</f>
        <v>3.004579838</v>
      </c>
      <c r="AH8" s="9">
        <f>IFERROR(SQRT((B8-Cluster!$C$19)^2+(C8-Cluster!$D$19)^2+(D8-Cluster!$E$19)^2),"")</f>
        <v>1.023474475</v>
      </c>
      <c r="AJ8" s="9">
        <f t="shared" si="4"/>
        <v>3</v>
      </c>
    </row>
    <row r="9">
      <c r="A9" s="7" t="s">
        <v>120</v>
      </c>
      <c r="B9" s="11">
        <f>IFERROR(AVERAGE('Form Responses 1'!E9:H9), "")</f>
        <v>3</v>
      </c>
      <c r="C9" s="11">
        <f>IFERROR(AVERAGE('Form Responses 1'!I9:L9), "")</f>
        <v>2</v>
      </c>
      <c r="D9" s="11">
        <f>IFERROR(AVERAGE('Form Responses 1'!M9:P9), "")</f>
        <v>1.75</v>
      </c>
      <c r="E9" s="9" t="str">
        <f t="array" ref="E9">MAX('Form Responses 1'!E9,'Form Responses 1'!I9,'Form Responses 1'!M9)&amp;" - "&amp;INDEX({"ChatGPT","Gemini","Claude"},MATCH(MAX('Form Responses 1'!E9,'Form Responses 1'!I9,'Form Responses 1'!M9),{'Form Responses 1'!E9,'Form Responses 1'!I9,'Form Responses 1'!M9},0))</f>
        <v>3 - ChatGPT</v>
      </c>
      <c r="F9" s="9" t="str">
        <f t="array" ref="F9">MAX('Form Responses 1'!F9,'Form Responses 1'!J9,'Form Responses 1'!N9)&amp;" - "&amp;INDEX({"ChatGPT","Gemini","Claude"},MATCH(MAX('Form Responses 1'!F9,'Form Responses 1'!J9,'Form Responses 1'!N9),{'Form Responses 1'!F9,'Form Responses 1'!J9,'Form Responses 1'!N9},0))</f>
        <v>3 - ChatGPT</v>
      </c>
      <c r="G9" s="9" t="str">
        <f t="array" ref="G9">MAX('Form Responses 1'!G9,'Form Responses 1'!K9,'Form Responses 1'!O9)&amp;" - "&amp;INDEX({"ChatGPT","Gemini","Claude"},MATCH(MAX('Form Responses 1'!G9,'Form Responses 1'!K9,'Form Responses 1'!O9),{'Form Responses 1'!G9,'Form Responses 1'!K9,'Form Responses 1'!O9},0))</f>
        <v>3 - ChatGPT</v>
      </c>
      <c r="H9" s="9" t="str">
        <f t="array" ref="H9">MAX('Form Responses 1'!H9,'Form Responses 1'!L9,'Form Responses 1'!P9)&amp;" - "&amp;INDEX({"ChatGPT","Gemini","Claude"},MATCH(MAX('Form Responses 1'!H9,'Form Responses 1'!L9,'Form Responses 1'!P9),{'Form Responses 1'!H9,'Form Responses 1'!L9,'Form Responses 1'!P9},0))</f>
        <v>3 - ChatGPT</v>
      </c>
      <c r="K9" s="7">
        <f>IFERROR(SQRT((B9-Cluster!$C$2)^2+(C9-Cluster!$D$2)^2+(D9-Cluster!$E$2)^2),"")</f>
        <v>2.358495283</v>
      </c>
      <c r="L9" s="9">
        <f>IFERROR(SQRT((B9-Cluster!$C$3)^2+(C9-Cluster!$D$3)^2+(D9-Cluster!$E$3)^2),"")</f>
        <v>2.657536453</v>
      </c>
      <c r="M9" s="9">
        <f>IFERROR(SQRT((B9-Cluster!$C$4)^2+(C9-Cluster!$D$4)^2+(D9-Cluster!$E$4)^2),"")</f>
        <v>2.358495283</v>
      </c>
      <c r="O9" s="7">
        <f t="shared" si="1"/>
        <v>1</v>
      </c>
      <c r="R9" s="7">
        <f>IFERROR(SQRT((B9-Cluster!$C$7)^2+(C9-Cluster!$D$7)^2+(D9-Cluster!$E$7)^2),"")</f>
        <v>2.076655966</v>
      </c>
      <c r="S9" s="9">
        <f>IFERROR(SQRT((B9-Cluster!$C$8)^2+(C9-Cluster!$D$8)^2+(D9-Cluster!$E$8)^2),"")</f>
        <v>3.132491022</v>
      </c>
      <c r="T9" s="9">
        <f>IFERROR(SQRT((B9-Cluster!$C$9)^2+(C9-Cluster!$D$9)^2+(D9-Cluster!$E$9)^2),"")</f>
        <v>3.889087297</v>
      </c>
      <c r="V9" s="9">
        <f t="shared" si="2"/>
        <v>1</v>
      </c>
      <c r="Y9" s="7">
        <f>IFERROR(SQRT((B9-Cluster!$C$12)^2+(C9-Cluster!$D$12)^2+(D9-Cluster!$E$12)^2),"")</f>
        <v>1.25</v>
      </c>
      <c r="Z9" s="9">
        <f>IFERROR(SQRT((B9-Cluster!$C$13)^2+(C9-Cluster!$D$13)^2+(D9-Cluster!$E$13)^2),"")</f>
        <v>2.80624304</v>
      </c>
      <c r="AA9" s="9">
        <f>IFERROR(SQRT((B9-Cluster!$C$14)^2+(C9-Cluster!$D$14)^2+(D9-Cluster!$E$14)^2),"")</f>
        <v>2.926174978</v>
      </c>
      <c r="AC9" s="9">
        <f t="shared" si="3"/>
        <v>1</v>
      </c>
      <c r="AF9" s="7">
        <f>IFERROR(SQRT((B9-Cluster!$C$17)^2+(C9-Cluster!$D$17)^2+(D9-Cluster!$E$17)^2),"")</f>
        <v>0.9552486587</v>
      </c>
      <c r="AG9" s="9">
        <f>IFERROR(SQRT((B9-Cluster!$C$18)^2+(C9-Cluster!$D$18)^2+(D9-Cluster!$E$18)^2),"")</f>
        <v>3.45</v>
      </c>
      <c r="AH9" s="9">
        <f>IFERROR(SQRT((B9-Cluster!$C$19)^2+(C9-Cluster!$D$19)^2+(D9-Cluster!$E$19)^2),"")</f>
        <v>2.927883194</v>
      </c>
      <c r="AJ9" s="9">
        <f t="shared" si="4"/>
        <v>1</v>
      </c>
    </row>
    <row r="10">
      <c r="A10" s="7" t="s">
        <v>121</v>
      </c>
      <c r="B10" s="11">
        <f>IFERROR(AVERAGE('Form Responses 1'!E10:H10), "")</f>
        <v>2.5</v>
      </c>
      <c r="C10" s="11">
        <f>IFERROR(AVERAGE('Form Responses 1'!I10:L10), "")</f>
        <v>2.5</v>
      </c>
      <c r="D10" s="11">
        <f>IFERROR(AVERAGE('Form Responses 1'!M10:P10), "")</f>
        <v>3</v>
      </c>
      <c r="E10" s="9" t="str">
        <f t="array" ref="E10">MAX('Form Responses 1'!E10,'Form Responses 1'!I10,'Form Responses 1'!M10)&amp;" - "&amp;INDEX({"ChatGPT","Gemini","Claude"},MATCH(MAX('Form Responses 1'!E10,'Form Responses 1'!I10,'Form Responses 1'!M10),{'Form Responses 1'!E10,'Form Responses 1'!I10,'Form Responses 1'!M10},0))</f>
        <v>4 - Claude</v>
      </c>
      <c r="F10" s="9" t="str">
        <f t="array" ref="F10">MAX('Form Responses 1'!F10,'Form Responses 1'!J10,'Form Responses 1'!N10)&amp;" - "&amp;INDEX({"ChatGPT","Gemini","Claude"},MATCH(MAX('Form Responses 1'!F10,'Form Responses 1'!J10,'Form Responses 1'!N10),{'Form Responses 1'!F10,'Form Responses 1'!J10,'Form Responses 1'!N10},0))</f>
        <v>2 - ChatGPT</v>
      </c>
      <c r="G10" s="9" t="str">
        <f t="array" ref="G10">MAX('Form Responses 1'!G10,'Form Responses 1'!K10,'Form Responses 1'!O10)&amp;" - "&amp;INDEX({"ChatGPT","Gemini","Claude"},MATCH(MAX('Form Responses 1'!G10,'Form Responses 1'!K10,'Form Responses 1'!O10),{'Form Responses 1'!G10,'Form Responses 1'!K10,'Form Responses 1'!O10},0))</f>
        <v>2 - ChatGPT</v>
      </c>
      <c r="H10" s="9" t="str">
        <f t="array" ref="H10">MAX('Form Responses 1'!H10,'Form Responses 1'!L10,'Form Responses 1'!P10)&amp;" - "&amp;INDEX({"ChatGPT","Gemini","Claude"},MATCH(MAX('Form Responses 1'!H10,'Form Responses 1'!L10,'Form Responses 1'!P10),{'Form Responses 1'!H10,'Form Responses 1'!L10,'Form Responses 1'!P10},0))</f>
        <v>4 - Claude</v>
      </c>
      <c r="K10" s="7">
        <f>IFERROR(SQRT((B10-Cluster!$C$2)^2+(C10-Cluster!$D$2)^2+(D10-Cluster!$E$2)^2),"")</f>
        <v>2.915475947</v>
      </c>
      <c r="L10" s="9">
        <f>IFERROR(SQRT((B10-Cluster!$C$3)^2+(C10-Cluster!$D$3)^2+(D10-Cluster!$E$3)^2),"")</f>
        <v>1.224744871</v>
      </c>
      <c r="M10" s="9">
        <f>IFERROR(SQRT((B10-Cluster!$C$4)^2+(C10-Cluster!$D$4)^2+(D10-Cluster!$E$4)^2),"")</f>
        <v>3.240370349</v>
      </c>
      <c r="O10" s="7">
        <f t="shared" si="1"/>
        <v>2</v>
      </c>
      <c r="R10" s="7">
        <f>IFERROR(SQRT((B10-Cluster!$C$7)^2+(C10-Cluster!$D$7)^2+(D10-Cluster!$E$7)^2),"")</f>
        <v>2.872281323</v>
      </c>
      <c r="S10" s="9">
        <f>IFERROR(SQRT((B10-Cluster!$C$8)^2+(C10-Cluster!$D$8)^2+(D10-Cluster!$E$8)^2),"")</f>
        <v>3.061862178</v>
      </c>
      <c r="T10" s="9">
        <f>IFERROR(SQRT((B10-Cluster!$C$9)^2+(C10-Cluster!$D$9)^2+(D10-Cluster!$E$9)^2),"")</f>
        <v>2.795084972</v>
      </c>
      <c r="V10" s="9">
        <f t="shared" si="2"/>
        <v>3</v>
      </c>
      <c r="Y10" s="7">
        <f>IFERROR(SQRT((B10-Cluster!$C$12)^2+(C10-Cluster!$D$12)^2+(D10-Cluster!$E$12)^2),"")</f>
        <v>2.549509757</v>
      </c>
      <c r="Z10" s="9">
        <f>IFERROR(SQRT((B10-Cluster!$C$13)^2+(C10-Cluster!$D$13)^2+(D10-Cluster!$E$13)^2),"")</f>
        <v>2.46221445</v>
      </c>
      <c r="AA10" s="9">
        <f>IFERROR(SQRT((B10-Cluster!$C$14)^2+(C10-Cluster!$D$14)^2+(D10-Cluster!$E$14)^2),"")</f>
        <v>1.658312395</v>
      </c>
      <c r="AC10" s="9">
        <f t="shared" si="3"/>
        <v>3</v>
      </c>
      <c r="AF10" s="7">
        <f>IFERROR(SQRT((B10-Cluster!$C$17)^2+(C10-Cluster!$D$17)^2+(D10-Cluster!$E$17)^2),"")</f>
        <v>2.109502311</v>
      </c>
      <c r="AG10" s="9">
        <f>IFERROR(SQRT((B10-Cluster!$C$18)^2+(C10-Cluster!$D$18)^2+(D10-Cluster!$E$18)^2),"")</f>
        <v>2.922327839</v>
      </c>
      <c r="AH10" s="9">
        <f>IFERROR(SQRT((B10-Cluster!$C$19)^2+(C10-Cluster!$D$19)^2+(D10-Cluster!$E$19)^2),"")</f>
        <v>1.96468827</v>
      </c>
      <c r="AJ10" s="9">
        <f t="shared" si="4"/>
        <v>3</v>
      </c>
    </row>
    <row r="11">
      <c r="A11" s="7" t="s">
        <v>122</v>
      </c>
      <c r="B11" s="11">
        <f>IFERROR(AVERAGE('Form Responses 1'!E11:H11), "")</f>
        <v>4</v>
      </c>
      <c r="C11" s="11">
        <f>IFERROR(AVERAGE('Form Responses 1'!I11:L11), "")</f>
        <v>3.75</v>
      </c>
      <c r="D11" s="11">
        <f>IFERROR(AVERAGE('Form Responses 1'!M11:P11), "")</f>
        <v>4</v>
      </c>
      <c r="E11" s="9" t="str">
        <f t="array" ref="E11">MAX('Form Responses 1'!E11,'Form Responses 1'!I11,'Form Responses 1'!M11)&amp;" - "&amp;INDEX({"ChatGPT","Gemini","Claude"},MATCH(MAX('Form Responses 1'!E11,'Form Responses 1'!I11,'Form Responses 1'!M11),{'Form Responses 1'!E11,'Form Responses 1'!I11,'Form Responses 1'!M11},0))</f>
        <v>4 - ChatGPT</v>
      </c>
      <c r="F11" s="9" t="str">
        <f t="array" ref="F11">MAX('Form Responses 1'!F11,'Form Responses 1'!J11,'Form Responses 1'!N11)&amp;" - "&amp;INDEX({"ChatGPT","Gemini","Claude"},MATCH(MAX('Form Responses 1'!F11,'Form Responses 1'!J11,'Form Responses 1'!N11),{'Form Responses 1'!F11,'Form Responses 1'!J11,'Form Responses 1'!N11},0))</f>
        <v>4 - ChatGPT</v>
      </c>
      <c r="G11" s="9" t="str">
        <f t="array" ref="G11">MAX('Form Responses 1'!G11,'Form Responses 1'!K11,'Form Responses 1'!O11)&amp;" - "&amp;INDEX({"ChatGPT","Gemini","Claude"},MATCH(MAX('Form Responses 1'!G11,'Form Responses 1'!K11,'Form Responses 1'!O11),{'Form Responses 1'!G11,'Form Responses 1'!K11,'Form Responses 1'!O11},0))</f>
        <v>5 - ChatGPT</v>
      </c>
      <c r="H11" s="9" t="str">
        <f t="array" ref="H11">MAX('Form Responses 1'!H11,'Form Responses 1'!L11,'Form Responses 1'!P11)&amp;" - "&amp;INDEX({"ChatGPT","Gemini","Claude"},MATCH(MAX('Form Responses 1'!H11,'Form Responses 1'!L11,'Form Responses 1'!P11),{'Form Responses 1'!H11,'Form Responses 1'!L11,'Form Responses 1'!P11},0))</f>
        <v>5 - Claude</v>
      </c>
      <c r="K11" s="7">
        <f>IFERROR(SQRT((B11-Cluster!$C$2)^2+(C11-Cluster!$D$2)^2+(D11-Cluster!$E$2)^2),"")</f>
        <v>5.055937104</v>
      </c>
      <c r="L11" s="9">
        <f>IFERROR(SQRT((B11-Cluster!$C$3)^2+(C11-Cluster!$D$3)^2+(D11-Cluster!$E$3)^2),"")</f>
        <v>2.136000936</v>
      </c>
      <c r="M11" s="9">
        <f>IFERROR(SQRT((B11-Cluster!$C$4)^2+(C11-Cluster!$D$4)^2+(D11-Cluster!$E$4)^2),"")</f>
        <v>3.25</v>
      </c>
      <c r="O11" s="7">
        <f t="shared" si="1"/>
        <v>2</v>
      </c>
      <c r="R11" s="7">
        <f>IFERROR(SQRT((B11-Cluster!$C$7)^2+(C11-Cluster!$D$7)^2+(D11-Cluster!$E$7)^2),"")</f>
        <v>3.172144385</v>
      </c>
      <c r="S11" s="9">
        <f>IFERROR(SQRT((B11-Cluster!$C$8)^2+(C11-Cluster!$D$8)^2+(D11-Cluster!$E$8)^2),"")</f>
        <v>3.491060011</v>
      </c>
      <c r="T11" s="9">
        <f>IFERROR(SQRT((B11-Cluster!$C$9)^2+(C11-Cluster!$D$9)^2+(D11-Cluster!$E$9)^2),"")</f>
        <v>4.031128874</v>
      </c>
      <c r="V11" s="9">
        <f t="shared" si="2"/>
        <v>1</v>
      </c>
      <c r="Y11" s="7">
        <f>IFERROR(SQRT((B11-Cluster!$C$12)^2+(C11-Cluster!$D$12)^2+(D11-Cluster!$E$12)^2),"")</f>
        <v>3.473110997</v>
      </c>
      <c r="Z11" s="9">
        <f>IFERROR(SQRT((B11-Cluster!$C$13)^2+(C11-Cluster!$D$13)^2+(D11-Cluster!$E$13)^2),"")</f>
        <v>2.692582404</v>
      </c>
      <c r="AA11" s="9">
        <f>IFERROR(SQRT((B11-Cluster!$C$14)^2+(C11-Cluster!$D$14)^2+(D11-Cluster!$E$14)^2),"")</f>
        <v>1.346291202</v>
      </c>
      <c r="AC11" s="9">
        <f t="shared" si="3"/>
        <v>3</v>
      </c>
      <c r="AF11" s="7">
        <f>IFERROR(SQRT((B11-Cluster!$C$17)^2+(C11-Cluster!$D$17)^2+(D11-Cluster!$E$17)^2),"")</f>
        <v>3.092329219</v>
      </c>
      <c r="AG11" s="9">
        <f>IFERROR(SQRT((B11-Cluster!$C$18)^2+(C11-Cluster!$D$18)^2+(D11-Cluster!$E$18)^2),"")</f>
        <v>3.755329546</v>
      </c>
      <c r="AH11" s="9">
        <f>IFERROR(SQRT((B11-Cluster!$C$19)^2+(C11-Cluster!$D$19)^2+(D11-Cluster!$E$19)^2),"")</f>
        <v>0.35</v>
      </c>
      <c r="AJ11" s="9">
        <f t="shared" si="4"/>
        <v>3</v>
      </c>
    </row>
    <row r="12">
      <c r="A12" s="7" t="s">
        <v>123</v>
      </c>
      <c r="B12" s="11">
        <f>IFERROR(AVERAGE('Form Responses 1'!E12:H12), "")</f>
        <v>4.25</v>
      </c>
      <c r="C12" s="11">
        <f>IFERROR(AVERAGE('Form Responses 1'!I12:L12), "")</f>
        <v>3.75</v>
      </c>
      <c r="D12" s="11">
        <f>IFERROR(AVERAGE('Form Responses 1'!M12:P12), "")</f>
        <v>5</v>
      </c>
      <c r="E12" s="9" t="str">
        <f t="array" ref="E12">MAX('Form Responses 1'!E12,'Form Responses 1'!I12,'Form Responses 1'!M12)&amp;" - "&amp;INDEX({"ChatGPT","Gemini","Claude"},MATCH(MAX('Form Responses 1'!E12,'Form Responses 1'!I12,'Form Responses 1'!M12),{'Form Responses 1'!E12,'Form Responses 1'!I12,'Form Responses 1'!M12},0))</f>
        <v>5 - ChatGPT</v>
      </c>
      <c r="F12" s="9" t="str">
        <f t="array" ref="F12">MAX('Form Responses 1'!F12,'Form Responses 1'!J12,'Form Responses 1'!N12)&amp;" - "&amp;INDEX({"ChatGPT","Gemini","Claude"},MATCH(MAX('Form Responses 1'!F12,'Form Responses 1'!J12,'Form Responses 1'!N12),{'Form Responses 1'!F12,'Form Responses 1'!J12,'Form Responses 1'!N12},0))</f>
        <v>5 - ChatGPT</v>
      </c>
      <c r="G12" s="9" t="str">
        <f t="array" ref="G12">MAX('Form Responses 1'!G12,'Form Responses 1'!K12,'Form Responses 1'!O12)&amp;" - "&amp;INDEX({"ChatGPT","Gemini","Claude"},MATCH(MAX('Form Responses 1'!G12,'Form Responses 1'!K12,'Form Responses 1'!O12),{'Form Responses 1'!G12,'Form Responses 1'!K12,'Form Responses 1'!O12},0))</f>
        <v>5 - Claude</v>
      </c>
      <c r="H12" s="9" t="str">
        <f t="array" ref="H12">MAX('Form Responses 1'!H12,'Form Responses 1'!L12,'Form Responses 1'!P12)&amp;" - "&amp;INDEX({"ChatGPT","Gemini","Claude"},MATCH(MAX('Form Responses 1'!H12,'Form Responses 1'!L12,'Form Responses 1'!P12),{'Form Responses 1'!H12,'Form Responses 1'!L12,'Form Responses 1'!P12},0))</f>
        <v>5 - Gemini</v>
      </c>
      <c r="K12" s="7">
        <f>IFERROR(SQRT((B12-Cluster!$C$2)^2+(C12-Cluster!$D$2)^2+(D12-Cluster!$E$2)^2),"")</f>
        <v>5.841660723</v>
      </c>
      <c r="L12" s="9">
        <f>IFERROR(SQRT((B12-Cluster!$C$3)^2+(C12-Cluster!$D$3)^2+(D12-Cluster!$E$3)^2),"")</f>
        <v>2.573907535</v>
      </c>
      <c r="M12" s="9">
        <f>IFERROR(SQRT((B12-Cluster!$C$4)^2+(C12-Cluster!$D$4)^2+(D12-Cluster!$E$4)^2),"")</f>
        <v>4.138236339</v>
      </c>
      <c r="O12" s="7">
        <f t="shared" si="1"/>
        <v>2</v>
      </c>
      <c r="R12" s="7">
        <f>IFERROR(SQRT((B12-Cluster!$C$7)^2+(C12-Cluster!$D$7)^2+(D12-Cluster!$E$7)^2),"")</f>
        <v>3.824264635</v>
      </c>
      <c r="S12" s="9">
        <f>IFERROR(SQRT((B12-Cluster!$C$8)^2+(C12-Cluster!$D$8)^2+(D12-Cluster!$E$8)^2),"")</f>
        <v>4.430011287</v>
      </c>
      <c r="T12" s="9">
        <f>IFERROR(SQRT((B12-Cluster!$C$9)^2+(C12-Cluster!$D$9)^2+(D12-Cluster!$E$9)^2),"")</f>
        <v>4.100304867</v>
      </c>
      <c r="V12" s="9">
        <f t="shared" si="2"/>
        <v>1</v>
      </c>
      <c r="Y12" s="7">
        <f>IFERROR(SQRT((B12-Cluster!$C$12)^2+(C12-Cluster!$D$12)^2+(D12-Cluster!$E$12)^2),"")</f>
        <v>4.373213921</v>
      </c>
      <c r="Z12" s="9">
        <f>IFERROR(SQRT((B12-Cluster!$C$13)^2+(C12-Cluster!$D$13)^2+(D12-Cluster!$E$13)^2),"")</f>
        <v>3.614208074</v>
      </c>
      <c r="AA12" s="9">
        <f>IFERROR(SQRT((B12-Cluster!$C$14)^2+(C12-Cluster!$D$14)^2+(D12-Cluster!$E$14)^2),"")</f>
        <v>1.541103501</v>
      </c>
      <c r="AC12" s="9">
        <f t="shared" si="3"/>
        <v>3</v>
      </c>
      <c r="AF12" s="7">
        <f>IFERROR(SQRT((B12-Cluster!$C$17)^2+(C12-Cluster!$D$17)^2+(D12-Cluster!$E$17)^2),"")</f>
        <v>4.052776826</v>
      </c>
      <c r="AG12" s="9">
        <f>IFERROR(SQRT((B12-Cluster!$C$18)^2+(C12-Cluster!$D$18)^2+(D12-Cluster!$E$18)^2),"")</f>
        <v>4.545877253</v>
      </c>
      <c r="AH12" s="9">
        <f>IFERROR(SQRT((B12-Cluster!$C$19)^2+(C12-Cluster!$D$19)^2+(D12-Cluster!$E$19)^2),"")</f>
        <v>1.065363788</v>
      </c>
      <c r="AJ12" s="9">
        <f t="shared" si="4"/>
        <v>3</v>
      </c>
    </row>
    <row r="13">
      <c r="A13" s="7" t="s">
        <v>124</v>
      </c>
      <c r="B13" s="11">
        <f>IFERROR(AVERAGE('Form Responses 1'!E13:H13), "")</f>
        <v>2.75</v>
      </c>
      <c r="C13" s="11">
        <f>IFERROR(AVERAGE('Form Responses 1'!I13:L13), "")</f>
        <v>3.75</v>
      </c>
      <c r="D13" s="11">
        <f>IFERROR(AVERAGE('Form Responses 1'!M13:P13), "")</f>
        <v>5</v>
      </c>
      <c r="E13" s="9" t="str">
        <f t="array" ref="E13">MAX('Form Responses 1'!E13,'Form Responses 1'!I13,'Form Responses 1'!M13)&amp;" - "&amp;INDEX({"ChatGPT","Gemini","Claude"},MATCH(MAX('Form Responses 1'!E13,'Form Responses 1'!I13,'Form Responses 1'!M13),{'Form Responses 1'!E13,'Form Responses 1'!I13,'Form Responses 1'!M13},0))</f>
        <v>5 - Claude</v>
      </c>
      <c r="F13" s="9" t="str">
        <f t="array" ref="F13">MAX('Form Responses 1'!F13,'Form Responses 1'!J13,'Form Responses 1'!N13)&amp;" - "&amp;INDEX({"ChatGPT","Gemini","Claude"},MATCH(MAX('Form Responses 1'!F13,'Form Responses 1'!J13,'Form Responses 1'!N13),{'Form Responses 1'!F13,'Form Responses 1'!J13,'Form Responses 1'!N13},0))</f>
        <v>5 - Claude</v>
      </c>
      <c r="G13" s="9" t="str">
        <f t="array" ref="G13">MAX('Form Responses 1'!G13,'Form Responses 1'!K13,'Form Responses 1'!O13)&amp;" - "&amp;INDEX({"ChatGPT","Gemini","Claude"},MATCH(MAX('Form Responses 1'!G13,'Form Responses 1'!K13,'Form Responses 1'!O13),{'Form Responses 1'!G13,'Form Responses 1'!K13,'Form Responses 1'!O13},0))</f>
        <v>5 - Claude</v>
      </c>
      <c r="H13" s="9" t="str">
        <f t="array" ref="H13">MAX('Form Responses 1'!H13,'Form Responses 1'!L13,'Form Responses 1'!P13)&amp;" - "&amp;INDEX({"ChatGPT","Gemini","Claude"},MATCH(MAX('Form Responses 1'!H13,'Form Responses 1'!L13,'Form Responses 1'!P13),{'Form Responses 1'!H13,'Form Responses 1'!L13,'Form Responses 1'!P13},0))</f>
        <v>5 - Claude</v>
      </c>
      <c r="K13" s="7">
        <f>IFERROR(SQRT((B13-Cluster!$C$2)^2+(C13-Cluster!$D$2)^2+(D13-Cluster!$E$2)^2),"")</f>
        <v>5.15994186</v>
      </c>
      <c r="L13" s="9">
        <f>IFERROR(SQRT((B13-Cluster!$C$3)^2+(C13-Cluster!$D$3)^2+(D13-Cluster!$E$3)^2),"")</f>
        <v>1.457737974</v>
      </c>
      <c r="M13" s="9">
        <f>IFERROR(SQRT((B13-Cluster!$C$4)^2+(C13-Cluster!$D$4)^2+(D13-Cluster!$E$4)^2),"")</f>
        <v>4.650268809</v>
      </c>
      <c r="O13" s="7">
        <f t="shared" si="1"/>
        <v>2</v>
      </c>
      <c r="R13" s="7">
        <f>IFERROR(SQRT((B13-Cluster!$C$7)^2+(C13-Cluster!$D$7)^2+(D13-Cluster!$E$7)^2),"")</f>
        <v>4.373213921</v>
      </c>
      <c r="S13" s="9">
        <f>IFERROR(SQRT((B13-Cluster!$C$8)^2+(C13-Cluster!$D$8)^2+(D13-Cluster!$E$8)^2),"")</f>
        <v>3.984344363</v>
      </c>
      <c r="T13" s="9">
        <f>IFERROR(SQRT((B13-Cluster!$C$9)^2+(C13-Cluster!$D$9)^2+(D13-Cluster!$E$9)^2),"")</f>
        <v>3.051638904</v>
      </c>
      <c r="V13" s="9">
        <f t="shared" si="2"/>
        <v>3</v>
      </c>
      <c r="Y13" s="7">
        <f>IFERROR(SQRT((B13-Cluster!$C$12)^2+(C13-Cluster!$D$12)^2+(D13-Cluster!$E$12)^2),"")</f>
        <v>4.541475531</v>
      </c>
      <c r="Z13" s="9">
        <f>IFERROR(SQRT((B13-Cluster!$C$13)^2+(C13-Cluster!$D$13)^2+(D13-Cluster!$E$13)^2),"")</f>
        <v>3.172144385</v>
      </c>
      <c r="AA13" s="9">
        <f>IFERROR(SQRT((B13-Cluster!$C$14)^2+(C13-Cluster!$D$14)^2+(D13-Cluster!$E$14)^2),"")</f>
        <v>0.9354143467</v>
      </c>
      <c r="AC13" s="9">
        <f t="shared" si="3"/>
        <v>3</v>
      </c>
      <c r="AF13" s="7">
        <f>IFERROR(SQRT((B13-Cluster!$C$17)^2+(C13-Cluster!$D$17)^2+(D13-Cluster!$E$17)^2),"")</f>
        <v>4.089621009</v>
      </c>
      <c r="AG13" s="9">
        <f>IFERROR(SQRT((B13-Cluster!$C$18)^2+(C13-Cluster!$D$18)^2+(D13-Cluster!$E$18)^2),"")</f>
        <v>3.628360511</v>
      </c>
      <c r="AH13" s="9">
        <f>IFERROR(SQRT((B13-Cluster!$C$19)^2+(C13-Cluster!$D$19)^2+(D13-Cluster!$E$19)^2),"")</f>
        <v>1.317193987</v>
      </c>
      <c r="AJ13" s="9">
        <f t="shared" si="4"/>
        <v>3</v>
      </c>
    </row>
    <row r="14">
      <c r="A14" s="7" t="s">
        <v>125</v>
      </c>
      <c r="B14" s="11">
        <f>IFERROR(AVERAGE('Form Responses 1'!E14:H14), "")</f>
        <v>3.75</v>
      </c>
      <c r="C14" s="11">
        <f>IFERROR(AVERAGE('Form Responses 1'!I14:L14), "")</f>
        <v>1.75</v>
      </c>
      <c r="D14" s="11">
        <f>IFERROR(AVERAGE('Form Responses 1'!M14:P14), "")</f>
        <v>1.5</v>
      </c>
      <c r="E14" s="9" t="str">
        <f t="array" ref="E14">MAX('Form Responses 1'!E14,'Form Responses 1'!I14,'Form Responses 1'!M14)&amp;" - "&amp;INDEX({"ChatGPT","Gemini","Claude"},MATCH(MAX('Form Responses 1'!E14,'Form Responses 1'!I14,'Form Responses 1'!M14),{'Form Responses 1'!E14,'Form Responses 1'!I14,'Form Responses 1'!M14},0))</f>
        <v>4 - ChatGPT</v>
      </c>
      <c r="F14" s="9" t="str">
        <f t="array" ref="F14">MAX('Form Responses 1'!F14,'Form Responses 1'!J14,'Form Responses 1'!N14)&amp;" - "&amp;INDEX({"ChatGPT","Gemini","Claude"},MATCH(MAX('Form Responses 1'!F14,'Form Responses 1'!J14,'Form Responses 1'!N14),{'Form Responses 1'!F14,'Form Responses 1'!J14,'Form Responses 1'!N14},0))</f>
        <v>2 - ChatGPT</v>
      </c>
      <c r="G14" s="9" t="str">
        <f t="array" ref="G14">MAX('Form Responses 1'!G14,'Form Responses 1'!K14,'Form Responses 1'!O14)&amp;" - "&amp;INDEX({"ChatGPT","Gemini","Claude"},MATCH(MAX('Form Responses 1'!G14,'Form Responses 1'!K14,'Form Responses 1'!O14),{'Form Responses 1'!G14,'Form Responses 1'!K14,'Form Responses 1'!O14},0))</f>
        <v>5 - ChatGPT</v>
      </c>
      <c r="H14" s="9" t="str">
        <f t="array" ref="H14">MAX('Form Responses 1'!H14,'Form Responses 1'!L14,'Form Responses 1'!P14)&amp;" - "&amp;INDEX({"ChatGPT","Gemini","Claude"},MATCH(MAX('Form Responses 1'!H14,'Form Responses 1'!L14,'Form Responses 1'!P14),{'Form Responses 1'!H14,'Form Responses 1'!L14,'Form Responses 1'!P14},0))</f>
        <v>4 - ChatGPT</v>
      </c>
      <c r="K14" s="7">
        <f>IFERROR(SQRT((B14-Cluster!$C$2)^2+(C14-Cluster!$D$2)^2+(D14-Cluster!$E$2)^2),"")</f>
        <v>2.893959226</v>
      </c>
      <c r="L14" s="9">
        <f>IFERROR(SQRT((B14-Cluster!$C$3)^2+(C14-Cluster!$D$3)^2+(D14-Cluster!$E$3)^2),"")</f>
        <v>3.29772649</v>
      </c>
      <c r="M14" s="9">
        <f>IFERROR(SQRT((B14-Cluster!$C$4)^2+(C14-Cluster!$D$4)^2+(D14-Cluster!$E$4)^2),"")</f>
        <v>1.837117307</v>
      </c>
      <c r="O14" s="7">
        <f t="shared" si="1"/>
        <v>3</v>
      </c>
      <c r="R14" s="7">
        <f>IFERROR(SQRT((B14-Cluster!$C$7)^2+(C14-Cluster!$D$7)^2+(D14-Cluster!$E$7)^2),"")</f>
        <v>1.369306394</v>
      </c>
      <c r="S14" s="9">
        <f>IFERROR(SQRT((B14-Cluster!$C$8)^2+(C14-Cluster!$D$8)^2+(D14-Cluster!$E$8)^2),"")</f>
        <v>3.588175024</v>
      </c>
      <c r="T14" s="9">
        <f>IFERROR(SQRT((B14-Cluster!$C$9)^2+(C14-Cluster!$D$9)^2+(D14-Cluster!$E$9)^2),"")</f>
        <v>4.479118217</v>
      </c>
      <c r="V14" s="9">
        <f t="shared" si="2"/>
        <v>1</v>
      </c>
      <c r="Y14" s="7">
        <f>IFERROR(SQRT((B14-Cluster!$C$12)^2+(C14-Cluster!$D$12)^2+(D14-Cluster!$E$12)^2),"")</f>
        <v>0.6123724357</v>
      </c>
      <c r="Z14" s="9">
        <f>IFERROR(SQRT((B14-Cluster!$C$13)^2+(C14-Cluster!$D$13)^2+(D14-Cluster!$E$13)^2),"")</f>
        <v>3.288236609</v>
      </c>
      <c r="AA14" s="9">
        <f>IFERROR(SQRT((B14-Cluster!$C$14)^2+(C14-Cluster!$D$14)^2+(D14-Cluster!$E$14)^2),"")</f>
        <v>3.335416016</v>
      </c>
      <c r="AC14" s="9">
        <f t="shared" si="3"/>
        <v>1</v>
      </c>
      <c r="AF14" s="7">
        <f>IFERROR(SQRT((B14-Cluster!$C$17)^2+(C14-Cluster!$D$17)^2+(D14-Cluster!$E$17)^2),"")</f>
        <v>0.8215838363</v>
      </c>
      <c r="AG14" s="9">
        <f>IFERROR(SQRT((B14-Cluster!$C$18)^2+(C14-Cluster!$D$18)^2+(D14-Cluster!$E$18)^2),"")</f>
        <v>4.137027919</v>
      </c>
      <c r="AH14" s="9">
        <f>IFERROR(SQRT((B14-Cluster!$C$19)^2+(C14-Cluster!$D$19)^2+(D14-Cluster!$E$19)^2),"")</f>
        <v>3.191394679</v>
      </c>
      <c r="AJ14" s="9">
        <f t="shared" si="4"/>
        <v>1</v>
      </c>
    </row>
    <row r="15">
      <c r="A15" s="7" t="s">
        <v>126</v>
      </c>
      <c r="B15" s="11">
        <f>IFERROR(AVERAGE('Form Responses 1'!E15:H15), "")</f>
        <v>5</v>
      </c>
      <c r="C15" s="11">
        <f>IFERROR(AVERAGE('Form Responses 1'!I15:L15), "")</f>
        <v>5</v>
      </c>
      <c r="D15" s="11">
        <f>IFERROR(AVERAGE('Form Responses 1'!M15:P15), "")</f>
        <v>5</v>
      </c>
      <c r="E15" s="9" t="str">
        <f t="array" ref="E15">MAX('Form Responses 1'!E15,'Form Responses 1'!I15,'Form Responses 1'!M15)&amp;" - "&amp;INDEX({"ChatGPT","Gemini","Claude"},MATCH(MAX('Form Responses 1'!E15,'Form Responses 1'!I15,'Form Responses 1'!M15),{'Form Responses 1'!E15,'Form Responses 1'!I15,'Form Responses 1'!M15},0))</f>
        <v>5 - ChatGPT</v>
      </c>
      <c r="F15" s="9" t="str">
        <f t="array" ref="F15">MAX('Form Responses 1'!F15,'Form Responses 1'!J15,'Form Responses 1'!N15)&amp;" - "&amp;INDEX({"ChatGPT","Gemini","Claude"},MATCH(MAX('Form Responses 1'!F15,'Form Responses 1'!J15,'Form Responses 1'!N15),{'Form Responses 1'!F15,'Form Responses 1'!J15,'Form Responses 1'!N15},0))</f>
        <v>5 - ChatGPT</v>
      </c>
      <c r="G15" s="9" t="str">
        <f t="array" ref="G15">MAX('Form Responses 1'!G15,'Form Responses 1'!K15,'Form Responses 1'!O15)&amp;" - "&amp;INDEX({"ChatGPT","Gemini","Claude"},MATCH(MAX('Form Responses 1'!G15,'Form Responses 1'!K15,'Form Responses 1'!O15),{'Form Responses 1'!G15,'Form Responses 1'!K15,'Form Responses 1'!O15},0))</f>
        <v>5 - ChatGPT</v>
      </c>
      <c r="H15" s="9" t="str">
        <f t="array" ref="H15">MAX('Form Responses 1'!H15,'Form Responses 1'!L15,'Form Responses 1'!P15)&amp;" - "&amp;INDEX({"ChatGPT","Gemini","Claude"},MATCH(MAX('Form Responses 1'!H15,'Form Responses 1'!L15,'Form Responses 1'!P15),{'Form Responses 1'!H15,'Form Responses 1'!L15,'Form Responses 1'!P15},0))</f>
        <v>5 - ChatGPT</v>
      </c>
      <c r="K15" s="7">
        <f>IFERROR(SQRT((B15-Cluster!$C$2)^2+(C15-Cluster!$D$2)^2+(D15-Cluster!$E$2)^2),"")</f>
        <v>6.92820323</v>
      </c>
      <c r="L15" s="9">
        <f>IFERROR(SQRT((B15-Cluster!$C$3)^2+(C15-Cluster!$D$3)^2+(D15-Cluster!$E$3)^2),"")</f>
        <v>3.741657387</v>
      </c>
      <c r="M15" s="9">
        <f>IFERROR(SQRT((B15-Cluster!$C$4)^2+(C15-Cluster!$D$4)^2+(D15-Cluster!$E$4)^2),"")</f>
        <v>4.472135955</v>
      </c>
      <c r="O15" s="7">
        <f t="shared" si="1"/>
        <v>2</v>
      </c>
      <c r="R15" s="7">
        <f>IFERROR(SQRT((B15-Cluster!$C$7)^2+(C15-Cluster!$D$7)^2+(D15-Cluster!$E$7)^2),"")</f>
        <v>4.609772229</v>
      </c>
      <c r="S15" s="9">
        <f>IFERROR(SQRT((B15-Cluster!$C$8)^2+(C15-Cluster!$D$8)^2+(D15-Cluster!$E$8)^2),"")</f>
        <v>4.650268809</v>
      </c>
      <c r="T15" s="9">
        <f>IFERROR(SQRT((B15-Cluster!$C$9)^2+(C15-Cluster!$D$9)^2+(D15-Cluster!$E$9)^2),"")</f>
        <v>5.48292805</v>
      </c>
      <c r="V15" s="9">
        <f t="shared" si="2"/>
        <v>1</v>
      </c>
      <c r="Y15" s="7">
        <f>IFERROR(SQRT((B15-Cluster!$C$12)^2+(C15-Cluster!$D$12)^2+(D15-Cluster!$E$12)^2),"")</f>
        <v>5.099019514</v>
      </c>
      <c r="Z15" s="9">
        <f>IFERROR(SQRT((B15-Cluster!$C$13)^2+(C15-Cluster!$D$13)^2+(D15-Cluster!$E$13)^2),"")</f>
        <v>3.913118961</v>
      </c>
      <c r="AA15" s="9">
        <f>IFERROR(SQRT((B15-Cluster!$C$14)^2+(C15-Cluster!$D$14)^2+(D15-Cluster!$E$14)^2),"")</f>
        <v>2.872281323</v>
      </c>
      <c r="AC15" s="9">
        <f t="shared" si="3"/>
        <v>3</v>
      </c>
      <c r="AF15" s="7">
        <f>IFERROR(SQRT((B15-Cluster!$C$17)^2+(C15-Cluster!$D$17)^2+(D15-Cluster!$E$17)^2),"")</f>
        <v>4.759201614</v>
      </c>
      <c r="AG15" s="9">
        <f>IFERROR(SQRT((B15-Cluster!$C$18)^2+(C15-Cluster!$D$18)^2+(D15-Cluster!$E$18)^2),"")</f>
        <v>5.003998401</v>
      </c>
      <c r="AH15" s="9">
        <f>IFERROR(SQRT((B15-Cluster!$C$19)^2+(C15-Cluster!$D$19)^2+(D15-Cluster!$E$19)^2),"")</f>
        <v>2.111871208</v>
      </c>
      <c r="AJ15" s="9">
        <f t="shared" si="4"/>
        <v>3</v>
      </c>
    </row>
    <row r="16">
      <c r="A16" s="7" t="s">
        <v>127</v>
      </c>
      <c r="B16" s="11">
        <f>IFERROR(AVERAGE('Form Responses 1'!E16:H16), "")</f>
        <v>1.75</v>
      </c>
      <c r="C16" s="11">
        <f>IFERROR(AVERAGE('Form Responses 1'!I16:L16), "")</f>
        <v>2</v>
      </c>
      <c r="D16" s="11">
        <f>IFERROR(AVERAGE('Form Responses 1'!M16:P16), "")</f>
        <v>1</v>
      </c>
      <c r="E16" s="9" t="str">
        <f t="array" ref="E16">MAX('Form Responses 1'!E16,'Form Responses 1'!I16,'Form Responses 1'!M16)&amp;" - "&amp;INDEX({"ChatGPT","Gemini","Claude"},MATCH(MAX('Form Responses 1'!E16,'Form Responses 1'!I16,'Form Responses 1'!M16),{'Form Responses 1'!E16,'Form Responses 1'!I16,'Form Responses 1'!M16},0))</f>
        <v>2 - ChatGPT</v>
      </c>
      <c r="F16" s="9" t="str">
        <f t="array" ref="F16">MAX('Form Responses 1'!F16,'Form Responses 1'!J16,'Form Responses 1'!N16)&amp;" - "&amp;INDEX({"ChatGPT","Gemini","Claude"},MATCH(MAX('Form Responses 1'!F16,'Form Responses 1'!J16,'Form Responses 1'!N16),{'Form Responses 1'!F16,'Form Responses 1'!J16,'Form Responses 1'!N16},0))</f>
        <v>1 - ChatGPT</v>
      </c>
      <c r="G16" s="9" t="str">
        <f t="array" ref="G16">MAX('Form Responses 1'!G16,'Form Responses 1'!K16,'Form Responses 1'!O16)&amp;" - "&amp;INDEX({"ChatGPT","Gemini","Claude"},MATCH(MAX('Form Responses 1'!G16,'Form Responses 1'!K16,'Form Responses 1'!O16),{'Form Responses 1'!G16,'Form Responses 1'!K16,'Form Responses 1'!O16},0))</f>
        <v>3 - Gemini</v>
      </c>
      <c r="H16" s="9" t="str">
        <f t="array" ref="H16">MAX('Form Responses 1'!H16,'Form Responses 1'!L16,'Form Responses 1'!P16)&amp;" - "&amp;INDEX({"ChatGPT","Gemini","Claude"},MATCH(MAX('Form Responses 1'!H16,'Form Responses 1'!L16,'Form Responses 1'!P16),{'Form Responses 1'!H16,'Form Responses 1'!L16,'Form Responses 1'!P16},0))</f>
        <v>3 - ChatGPT</v>
      </c>
      <c r="K16" s="7">
        <f>IFERROR(SQRT((B16-Cluster!$C$2)^2+(C16-Cluster!$D$2)^2+(D16-Cluster!$E$2)^2),"")</f>
        <v>1.25</v>
      </c>
      <c r="L16" s="9">
        <f>IFERROR(SQRT((B16-Cluster!$C$3)^2+(C16-Cluster!$D$3)^2+(D16-Cluster!$E$3)^2),"")</f>
        <v>3.172144385</v>
      </c>
      <c r="M16" s="9">
        <f>IFERROR(SQRT((B16-Cluster!$C$4)^2+(C16-Cluster!$D$4)^2+(D16-Cluster!$E$4)^2),"")</f>
        <v>3.400367627</v>
      </c>
      <c r="O16" s="7">
        <f t="shared" si="1"/>
        <v>1</v>
      </c>
      <c r="R16" s="7">
        <f>IFERROR(SQRT((B16-Cluster!$C$7)^2+(C16-Cluster!$D$7)^2+(D16-Cluster!$E$7)^2),"")</f>
        <v>3.436931771</v>
      </c>
      <c r="S16" s="9">
        <f>IFERROR(SQRT((B16-Cluster!$C$8)^2+(C16-Cluster!$D$8)^2+(D16-Cluster!$E$8)^2),"")</f>
        <v>3.051638904</v>
      </c>
      <c r="T16" s="9">
        <f>IFERROR(SQRT((B16-Cluster!$C$9)^2+(C16-Cluster!$D$9)^2+(D16-Cluster!$E$9)^2),"")</f>
        <v>4.138236339</v>
      </c>
      <c r="V16" s="9">
        <f t="shared" si="2"/>
        <v>2</v>
      </c>
      <c r="Y16" s="7">
        <f>IFERROR(SQRT((B16-Cluster!$C$12)^2+(C16-Cluster!$D$12)^2+(D16-Cluster!$E$12)^2),"")</f>
        <v>2.25</v>
      </c>
      <c r="Z16" s="9">
        <f>IFERROR(SQRT((B16-Cluster!$C$13)^2+(C16-Cluster!$D$13)^2+(D16-Cluster!$E$13)^2),"")</f>
        <v>3.020761493</v>
      </c>
      <c r="AA16" s="9">
        <f>IFERROR(SQRT((B16-Cluster!$C$14)^2+(C16-Cluster!$D$14)^2+(D16-Cluster!$E$14)^2),"")</f>
        <v>3.84870108</v>
      </c>
      <c r="AC16" s="9">
        <f t="shared" si="3"/>
        <v>1</v>
      </c>
      <c r="AF16" s="7">
        <f>IFERROR(SQRT((B16-Cluster!$C$17)^2+(C16-Cluster!$D$17)^2+(D16-Cluster!$E$17)^2),"")</f>
        <v>1.926784887</v>
      </c>
      <c r="AG16" s="9">
        <f>IFERROR(SQRT((B16-Cluster!$C$18)^2+(C16-Cluster!$D$18)^2+(D16-Cluster!$E$18)^2),"")</f>
        <v>3.066349621</v>
      </c>
      <c r="AH16" s="9">
        <f>IFERROR(SQRT((B16-Cluster!$C$19)^2+(C16-Cluster!$D$19)^2+(D16-Cluster!$E$19)^2),"")</f>
        <v>3.996561022</v>
      </c>
      <c r="AJ16" s="9">
        <f t="shared" si="4"/>
        <v>1</v>
      </c>
    </row>
    <row r="17">
      <c r="A17" s="7" t="s">
        <v>128</v>
      </c>
      <c r="B17" s="11">
        <f>IFERROR(AVERAGE('Form Responses 1'!E17:H17), "")</f>
        <v>3.5</v>
      </c>
      <c r="C17" s="11">
        <f>IFERROR(AVERAGE('Form Responses 1'!I17:L17), "")</f>
        <v>1.75</v>
      </c>
      <c r="D17" s="11">
        <f>IFERROR(AVERAGE('Form Responses 1'!M17:P17), "")</f>
        <v>1</v>
      </c>
      <c r="E17" s="9" t="str">
        <f t="array" ref="E17">MAX('Form Responses 1'!E17,'Form Responses 1'!I17,'Form Responses 1'!M17)&amp;" - "&amp;INDEX({"ChatGPT","Gemini","Claude"},MATCH(MAX('Form Responses 1'!E17,'Form Responses 1'!I17,'Form Responses 1'!M17),{'Form Responses 1'!E17,'Form Responses 1'!I17,'Form Responses 1'!M17},0))</f>
        <v>3 - ChatGPT</v>
      </c>
      <c r="F17" s="9" t="str">
        <f t="array" ref="F17">MAX('Form Responses 1'!F17,'Form Responses 1'!J17,'Form Responses 1'!N17)&amp;" - "&amp;INDEX({"ChatGPT","Gemini","Claude"},MATCH(MAX('Form Responses 1'!F17,'Form Responses 1'!J17,'Form Responses 1'!N17),{'Form Responses 1'!F17,'Form Responses 1'!J17,'Form Responses 1'!N17},0))</f>
        <v>4 - ChatGPT</v>
      </c>
      <c r="G17" s="9" t="str">
        <f t="array" ref="G17">MAX('Form Responses 1'!G17,'Form Responses 1'!K17,'Form Responses 1'!O17)&amp;" - "&amp;INDEX({"ChatGPT","Gemini","Claude"},MATCH(MAX('Form Responses 1'!G17,'Form Responses 1'!K17,'Form Responses 1'!O17),{'Form Responses 1'!G17,'Form Responses 1'!K17,'Form Responses 1'!O17},0))</f>
        <v>4 - ChatGPT</v>
      </c>
      <c r="H17" s="9" t="str">
        <f t="array" ref="H17">MAX('Form Responses 1'!H17,'Form Responses 1'!L17,'Form Responses 1'!P17)&amp;" - "&amp;INDEX({"ChatGPT","Gemini","Claude"},MATCH(MAX('Form Responses 1'!H17,'Form Responses 1'!L17,'Form Responses 1'!P17),{'Form Responses 1'!H17,'Form Responses 1'!L17,'Form Responses 1'!P17},0))</f>
        <v>3 - ChatGPT</v>
      </c>
      <c r="K17" s="7">
        <f>IFERROR(SQRT((B17-Cluster!$C$2)^2+(C17-Cluster!$D$2)^2+(D17-Cluster!$E$2)^2),"")</f>
        <v>2.610076627</v>
      </c>
      <c r="L17" s="9">
        <f>IFERROR(SQRT((B17-Cluster!$C$3)^2+(C17-Cluster!$D$3)^2+(D17-Cluster!$E$3)^2),"")</f>
        <v>3.579455266</v>
      </c>
      <c r="M17" s="9">
        <f>IFERROR(SQRT((B17-Cluster!$C$4)^2+(C17-Cluster!$D$4)^2+(D17-Cluster!$E$4)^2),"")</f>
        <v>1.952562419</v>
      </c>
      <c r="O17" s="7">
        <f t="shared" si="1"/>
        <v>3</v>
      </c>
      <c r="R17" s="7">
        <f>IFERROR(SQRT((B17-Cluster!$C$7)^2+(C17-Cluster!$D$7)^2+(D17-Cluster!$E$7)^2),"")</f>
        <v>1.820027472</v>
      </c>
      <c r="S17" s="9">
        <f>IFERROR(SQRT((B17-Cluster!$C$8)^2+(C17-Cluster!$D$8)^2+(D17-Cluster!$E$8)^2),"")</f>
        <v>3.491060011</v>
      </c>
      <c r="T17" s="9">
        <f>IFERROR(SQRT((B17-Cluster!$C$9)^2+(C17-Cluster!$D$9)^2+(D17-Cluster!$E$9)^2),"")</f>
        <v>4.74341649</v>
      </c>
      <c r="V17" s="9">
        <f t="shared" si="2"/>
        <v>1</v>
      </c>
      <c r="Y17" s="7">
        <f>IFERROR(SQRT((B17-Cluster!$C$12)^2+(C17-Cluster!$D$12)^2+(D17-Cluster!$E$12)^2),"")</f>
        <v>0.5590169944</v>
      </c>
      <c r="Z17" s="9">
        <f>IFERROR(SQRT((B17-Cluster!$C$13)^2+(C17-Cluster!$D$13)^2+(D17-Cluster!$E$13)^2),"")</f>
        <v>3.31662479</v>
      </c>
      <c r="AA17" s="9">
        <f>IFERROR(SQRT((B17-Cluster!$C$14)^2+(C17-Cluster!$D$14)^2+(D17-Cluster!$E$14)^2),"")</f>
        <v>3.75</v>
      </c>
      <c r="AC17" s="9">
        <f t="shared" si="3"/>
        <v>1</v>
      </c>
      <c r="AF17" s="7">
        <f>IFERROR(SQRT((B17-Cluster!$C$17)^2+(C17-Cluster!$D$17)^2+(D17-Cluster!$E$17)^2),"")</f>
        <v>0.7826237921</v>
      </c>
      <c r="AG17" s="9">
        <f>IFERROR(SQRT((B17-Cluster!$C$18)^2+(C17-Cluster!$D$18)^2+(D17-Cluster!$E$18)^2),"")</f>
        <v>4.068476373</v>
      </c>
      <c r="AH17" s="9">
        <f>IFERROR(SQRT((B17-Cluster!$C$19)^2+(C17-Cluster!$D$19)^2+(D17-Cluster!$E$19)^2),"")</f>
        <v>3.615591238</v>
      </c>
      <c r="AJ17" s="9">
        <f t="shared" si="4"/>
        <v>1</v>
      </c>
    </row>
    <row r="18">
      <c r="A18" s="7" t="s">
        <v>129</v>
      </c>
      <c r="B18" s="11">
        <f>IFERROR(AVERAGE('Form Responses 1'!E18:H18), "")</f>
        <v>3.25</v>
      </c>
      <c r="C18" s="11">
        <f>IFERROR(AVERAGE('Form Responses 1'!I18:L18), "")</f>
        <v>2.5</v>
      </c>
      <c r="D18" s="11">
        <f>IFERROR(AVERAGE('Form Responses 1'!M18:P18), "")</f>
        <v>1.5</v>
      </c>
      <c r="E18" s="9" t="str">
        <f t="array" ref="E18">MAX('Form Responses 1'!E18,'Form Responses 1'!I18,'Form Responses 1'!M18)&amp;" - "&amp;INDEX({"ChatGPT","Gemini","Claude"},MATCH(MAX('Form Responses 1'!E18,'Form Responses 1'!I18,'Form Responses 1'!M18),{'Form Responses 1'!E18,'Form Responses 1'!I18,'Form Responses 1'!M18},0))</f>
        <v>4 - ChatGPT</v>
      </c>
      <c r="F18" s="9" t="str">
        <f t="array" ref="F18">MAX('Form Responses 1'!F18,'Form Responses 1'!J18,'Form Responses 1'!N18)&amp;" - "&amp;INDEX({"ChatGPT","Gemini","Claude"},MATCH(MAX('Form Responses 1'!F18,'Form Responses 1'!J18,'Form Responses 1'!N18),{'Form Responses 1'!F18,'Form Responses 1'!J18,'Form Responses 1'!N18},0))</f>
        <v>2 - ChatGPT</v>
      </c>
      <c r="G18" s="9" t="str">
        <f t="array" ref="G18">MAX('Form Responses 1'!G18,'Form Responses 1'!K18,'Form Responses 1'!O18)&amp;" - "&amp;INDEX({"ChatGPT","Gemini","Claude"},MATCH(MAX('Form Responses 1'!G18,'Form Responses 1'!K18,'Form Responses 1'!O18),{'Form Responses 1'!G18,'Form Responses 1'!K18,'Form Responses 1'!O18},0))</f>
        <v>3 - ChatGPT</v>
      </c>
      <c r="H18" s="9" t="str">
        <f t="array" ref="H18">MAX('Form Responses 1'!H18,'Form Responses 1'!L18,'Form Responses 1'!P18)&amp;" - "&amp;INDEX({"ChatGPT","Gemini","Claude"},MATCH(MAX('Form Responses 1'!H18,'Form Responses 1'!L18,'Form Responses 1'!P18),{'Form Responses 1'!H18,'Form Responses 1'!L18,'Form Responses 1'!P18},0))</f>
        <v>4 - ChatGPT</v>
      </c>
      <c r="K18" s="7">
        <f>IFERROR(SQRT((B18-Cluster!$C$2)^2+(C18-Cluster!$D$2)^2+(D18-Cluster!$E$2)^2),"")</f>
        <v>2.75</v>
      </c>
      <c r="L18" s="9">
        <f>IFERROR(SQRT((B18-Cluster!$C$3)^2+(C18-Cluster!$D$3)^2+(D18-Cluster!$E$3)^2),"")</f>
        <v>2.839454173</v>
      </c>
      <c r="M18" s="9">
        <f>IFERROR(SQRT((B18-Cluster!$C$4)^2+(C18-Cluster!$D$4)^2+(D18-Cluster!$E$4)^2),"")</f>
        <v>1.887458609</v>
      </c>
      <c r="O18" s="7">
        <f t="shared" si="1"/>
        <v>3</v>
      </c>
      <c r="R18" s="7">
        <f>IFERROR(SQRT((B18-Cluster!$C$7)^2+(C18-Cluster!$D$7)^2+(D18-Cluster!$E$7)^2),"")</f>
        <v>2.076655966</v>
      </c>
      <c r="S18" s="9">
        <f>IFERROR(SQRT((B18-Cluster!$C$8)^2+(C18-Cluster!$D$8)^2+(D18-Cluster!$E$8)^2),"")</f>
        <v>2.704163457</v>
      </c>
      <c r="T18" s="9">
        <f>IFERROR(SQRT((B18-Cluster!$C$9)^2+(C18-Cluster!$D$9)^2+(D18-Cluster!$E$9)^2),"")</f>
        <v>4.344536799</v>
      </c>
      <c r="V18" s="9">
        <f t="shared" si="2"/>
        <v>1</v>
      </c>
      <c r="Y18" s="7">
        <f>IFERROR(SQRT((B18-Cluster!$C$12)^2+(C18-Cluster!$D$12)^2+(D18-Cluster!$E$12)^2),"")</f>
        <v>1.030776406</v>
      </c>
      <c r="Z18" s="9">
        <f>IFERROR(SQRT((B18-Cluster!$C$13)^2+(C18-Cluster!$D$13)^2+(D18-Cluster!$E$13)^2),"")</f>
        <v>2.423839929</v>
      </c>
      <c r="AA18" s="9">
        <f>IFERROR(SQRT((B18-Cluster!$C$14)^2+(C18-Cluster!$D$14)^2+(D18-Cluster!$E$14)^2),"")</f>
        <v>3.051638904</v>
      </c>
      <c r="AC18" s="9">
        <f t="shared" si="3"/>
        <v>1</v>
      </c>
      <c r="AF18" s="7">
        <f>IFERROR(SQRT((B18-Cluster!$C$17)^2+(C18-Cluster!$D$17)^2+(D18-Cluster!$E$17)^2),"")</f>
        <v>0.4609772229</v>
      </c>
      <c r="AG18" s="9">
        <f>IFERROR(SQRT((B18-Cluster!$C$18)^2+(C18-Cluster!$D$18)^2+(D18-Cluster!$E$18)^2),"")</f>
        <v>3.256148031</v>
      </c>
      <c r="AH18" s="9">
        <f>IFERROR(SQRT((B18-Cluster!$C$19)^2+(C18-Cluster!$D$19)^2+(D18-Cluster!$E$19)^2),"")</f>
        <v>2.858758472</v>
      </c>
      <c r="AJ18" s="9">
        <f t="shared" si="4"/>
        <v>1</v>
      </c>
    </row>
    <row r="19">
      <c r="A19" s="7" t="s">
        <v>130</v>
      </c>
      <c r="B19" s="11">
        <f>IFERROR(AVERAGE('Form Responses 1'!E19:H19), "")</f>
        <v>4</v>
      </c>
      <c r="C19" s="11">
        <f>IFERROR(AVERAGE('Form Responses 1'!I19:L19), "")</f>
        <v>3.5</v>
      </c>
      <c r="D19" s="11">
        <f>IFERROR(AVERAGE('Form Responses 1'!M19:P19), "")</f>
        <v>2.75</v>
      </c>
      <c r="E19" s="9" t="str">
        <f t="array" ref="E19">MAX('Form Responses 1'!E19,'Form Responses 1'!I19,'Form Responses 1'!M19)&amp;" - "&amp;INDEX({"ChatGPT","Gemini","Claude"},MATCH(MAX('Form Responses 1'!E19,'Form Responses 1'!I19,'Form Responses 1'!M19),{'Form Responses 1'!E19,'Form Responses 1'!I19,'Form Responses 1'!M19},0))</f>
        <v>5 - ChatGPT</v>
      </c>
      <c r="F19" s="9" t="str">
        <f t="array" ref="F19">MAX('Form Responses 1'!F19,'Form Responses 1'!J19,'Form Responses 1'!N19)&amp;" - "&amp;INDEX({"ChatGPT","Gemini","Claude"},MATCH(MAX('Form Responses 1'!F19,'Form Responses 1'!J19,'Form Responses 1'!N19),{'Form Responses 1'!F19,'Form Responses 1'!J19,'Form Responses 1'!N19},0))</f>
        <v>5 - ChatGPT</v>
      </c>
      <c r="G19" s="9" t="str">
        <f t="array" ref="G19">MAX('Form Responses 1'!G19,'Form Responses 1'!K19,'Form Responses 1'!O19)&amp;" - "&amp;INDEX({"ChatGPT","Gemini","Claude"},MATCH(MAX('Form Responses 1'!G19,'Form Responses 1'!K19,'Form Responses 1'!O19),{'Form Responses 1'!G19,'Form Responses 1'!K19,'Form Responses 1'!O19},0))</f>
        <v>4 - Gemini</v>
      </c>
      <c r="H19" s="9" t="str">
        <f t="array" ref="H19">MAX('Form Responses 1'!H19,'Form Responses 1'!L19,'Form Responses 1'!P19)&amp;" - "&amp;INDEX({"ChatGPT","Gemini","Claude"},MATCH(MAX('Form Responses 1'!H19,'Form Responses 1'!L19,'Form Responses 1'!P19),{'Form Responses 1'!H19,'Form Responses 1'!L19,'Form Responses 1'!P19},0))</f>
        <v>5 - Claude</v>
      </c>
      <c r="K19" s="7">
        <f>IFERROR(SQRT((B19-Cluster!$C$2)^2+(C19-Cluster!$D$2)^2+(D19-Cluster!$E$2)^2),"")</f>
        <v>4.279310692</v>
      </c>
      <c r="L19" s="9">
        <f>IFERROR(SQRT((B19-Cluster!$C$3)^2+(C19-Cluster!$D$3)^2+(D19-Cluster!$E$3)^2),"")</f>
        <v>2.41091269</v>
      </c>
      <c r="M19" s="9">
        <f>IFERROR(SQRT((B19-Cluster!$C$4)^2+(C19-Cluster!$D$4)^2+(D19-Cluster!$E$4)^2),"")</f>
        <v>2.076655966</v>
      </c>
      <c r="O19" s="7">
        <f t="shared" si="1"/>
        <v>3</v>
      </c>
      <c r="R19" s="7">
        <f>IFERROR(SQRT((B19-Cluster!$C$7)^2+(C19-Cluster!$D$7)^2+(D19-Cluster!$E$7)^2),"")</f>
        <v>2.358495283</v>
      </c>
      <c r="S19" s="9">
        <f>IFERROR(SQRT((B19-Cluster!$C$8)^2+(C19-Cluster!$D$8)^2+(D19-Cluster!$E$8)^2),"")</f>
        <v>2.75</v>
      </c>
      <c r="T19" s="9">
        <f>IFERROR(SQRT((B19-Cluster!$C$9)^2+(C19-Cluster!$D$9)^2+(D19-Cluster!$E$9)^2),"")</f>
        <v>4.373213921</v>
      </c>
      <c r="V19" s="9">
        <f t="shared" si="2"/>
        <v>1</v>
      </c>
      <c r="Y19" s="7">
        <f>IFERROR(SQRT((B19-Cluster!$C$12)^2+(C19-Cluster!$D$12)^2+(D19-Cluster!$E$12)^2),"")</f>
        <v>2.304886114</v>
      </c>
      <c r="Z19" s="9">
        <f>IFERROR(SQRT((B19-Cluster!$C$13)^2+(C19-Cluster!$D$13)^2+(D19-Cluster!$E$13)^2),"")</f>
        <v>2.091650066</v>
      </c>
      <c r="AA19" s="9">
        <f>IFERROR(SQRT((B19-Cluster!$C$14)^2+(C19-Cluster!$D$14)^2+(D19-Cluster!$E$14)^2),"")</f>
        <v>2.076655966</v>
      </c>
      <c r="AC19" s="9">
        <f t="shared" si="3"/>
        <v>3</v>
      </c>
      <c r="AF19" s="7">
        <f>IFERROR(SQRT((B19-Cluster!$C$17)^2+(C19-Cluster!$D$17)^2+(D19-Cluster!$E$17)^2),"")</f>
        <v>1.887458609</v>
      </c>
      <c r="AG19" s="9">
        <f>IFERROR(SQRT((B19-Cluster!$C$18)^2+(C19-Cluster!$D$18)^2+(D19-Cluster!$E$18)^2),"")</f>
        <v>3.354474624</v>
      </c>
      <c r="AH19" s="9">
        <f>IFERROR(SQRT((B19-Cluster!$C$19)^2+(C19-Cluster!$D$19)^2+(D19-Cluster!$E$19)^2),"")</f>
        <v>1.386542462</v>
      </c>
      <c r="AJ19" s="9">
        <f t="shared" si="4"/>
        <v>3</v>
      </c>
    </row>
    <row r="20">
      <c r="A20" s="7" t="s">
        <v>131</v>
      </c>
      <c r="B20" s="11">
        <f>IFERROR(AVERAGE('Form Responses 1'!E20:H20), "")</f>
        <v>1.75</v>
      </c>
      <c r="C20" s="11">
        <f>IFERROR(AVERAGE('Form Responses 1'!I20:L20), "")</f>
        <v>4</v>
      </c>
      <c r="D20" s="11">
        <f>IFERROR(AVERAGE('Form Responses 1'!M20:P20), "")</f>
        <v>1.5</v>
      </c>
      <c r="E20" s="9" t="str">
        <f t="array" ref="E20">MAX('Form Responses 1'!E20,'Form Responses 1'!I20,'Form Responses 1'!M20)&amp;" - "&amp;INDEX({"ChatGPT","Gemini","Claude"},MATCH(MAX('Form Responses 1'!E20,'Form Responses 1'!I20,'Form Responses 1'!M20),{'Form Responses 1'!E20,'Form Responses 1'!I20,'Form Responses 1'!M20},0))</f>
        <v>4 - Gemini</v>
      </c>
      <c r="F20" s="9" t="str">
        <f t="array" ref="F20">MAX('Form Responses 1'!F20,'Form Responses 1'!J20,'Form Responses 1'!N20)&amp;" - "&amp;INDEX({"ChatGPT","Gemini","Claude"},MATCH(MAX('Form Responses 1'!F20,'Form Responses 1'!J20,'Form Responses 1'!N20),{'Form Responses 1'!F20,'Form Responses 1'!J20,'Form Responses 1'!N20},0))</f>
        <v>4 - Gemini</v>
      </c>
      <c r="G20" s="9" t="str">
        <f t="array" ref="G20">MAX('Form Responses 1'!G20,'Form Responses 1'!K20,'Form Responses 1'!O20)&amp;" - "&amp;INDEX({"ChatGPT","Gemini","Claude"},MATCH(MAX('Form Responses 1'!G20,'Form Responses 1'!K20,'Form Responses 1'!O20),{'Form Responses 1'!G20,'Form Responses 1'!K20,'Form Responses 1'!O20},0))</f>
        <v>5 - Gemini</v>
      </c>
      <c r="H20" s="9" t="str">
        <f t="array" ref="H20">MAX('Form Responses 1'!H20,'Form Responses 1'!L20,'Form Responses 1'!P20)&amp;" - "&amp;INDEX({"ChatGPT","Gemini","Claude"},MATCH(MAX('Form Responses 1'!H20,'Form Responses 1'!L20,'Form Responses 1'!P20),{'Form Responses 1'!H20,'Form Responses 1'!L20,'Form Responses 1'!P20},0))</f>
        <v>3 - Gemini</v>
      </c>
      <c r="K20" s="7">
        <f>IFERROR(SQRT((B20-Cluster!$C$2)^2+(C20-Cluster!$D$2)^2+(D20-Cluster!$E$2)^2),"")</f>
        <v>3.132491022</v>
      </c>
      <c r="L20" s="9">
        <f>IFERROR(SQRT((B20-Cluster!$C$3)^2+(C20-Cluster!$D$3)^2+(D20-Cluster!$E$3)^2),"")</f>
        <v>2.704163457</v>
      </c>
      <c r="M20" s="9">
        <f>IFERROR(SQRT((B20-Cluster!$C$4)^2+(C20-Cluster!$D$4)^2+(D20-Cluster!$E$4)^2),"")</f>
        <v>3.436931771</v>
      </c>
      <c r="O20" s="7">
        <f t="shared" si="1"/>
        <v>2</v>
      </c>
      <c r="R20" s="7">
        <f>IFERROR(SQRT((B20-Cluster!$C$7)^2+(C20-Cluster!$D$7)^2+(D20-Cluster!$E$7)^2),"")</f>
        <v>4.13067791</v>
      </c>
      <c r="S20" s="9">
        <f>IFERROR(SQRT((B20-Cluster!$C$8)^2+(C20-Cluster!$D$8)^2+(D20-Cluster!$E$8)^2),"")</f>
        <v>1.145643924</v>
      </c>
      <c r="T20" s="9">
        <f>IFERROR(SQRT((B20-Cluster!$C$9)^2+(C20-Cluster!$D$9)^2+(D20-Cluster!$E$9)^2),"")</f>
        <v>4.513867521</v>
      </c>
      <c r="V20" s="9">
        <f t="shared" si="2"/>
        <v>2</v>
      </c>
      <c r="Y20" s="7">
        <f>IFERROR(SQRT((B20-Cluster!$C$12)^2+(C20-Cluster!$D$12)^2+(D20-Cluster!$E$12)^2),"")</f>
        <v>3.051638904</v>
      </c>
      <c r="Z20" s="9">
        <f>IFERROR(SQRT((B20-Cluster!$C$13)^2+(C20-Cluster!$D$13)^2+(D20-Cluster!$E$13)^2),"")</f>
        <v>1.17260394</v>
      </c>
      <c r="AA20" s="9">
        <f>IFERROR(SQRT((B20-Cluster!$C$14)^2+(C20-Cluster!$D$14)^2+(D20-Cluster!$E$14)^2),"")</f>
        <v>3.400367627</v>
      </c>
      <c r="AC20" s="9">
        <f t="shared" si="3"/>
        <v>2</v>
      </c>
      <c r="AF20" s="7">
        <f>IFERROR(SQRT((B20-Cluster!$C$17)^2+(C20-Cluster!$D$17)^2+(D20-Cluster!$E$17)^2),"")</f>
        <v>2.400520777</v>
      </c>
      <c r="AG20" s="9">
        <f>IFERROR(SQRT((B20-Cluster!$C$18)^2+(C20-Cluster!$D$18)^2+(D20-Cluster!$E$18)^2),"")</f>
        <v>1.205197079</v>
      </c>
      <c r="AH20" s="9">
        <f>IFERROR(SQRT((B20-Cluster!$C$19)^2+(C20-Cluster!$D$19)^2+(D20-Cluster!$E$19)^2),"")</f>
        <v>3.274522866</v>
      </c>
      <c r="AJ20" s="9">
        <f t="shared" si="4"/>
        <v>2</v>
      </c>
    </row>
    <row r="21">
      <c r="A21" s="7" t="s">
        <v>132</v>
      </c>
      <c r="B21" s="11">
        <f>IFERROR(AVERAGE('Form Responses 1'!E21:H21), "")</f>
        <v>2.75</v>
      </c>
      <c r="C21" s="11">
        <f>IFERROR(AVERAGE('Form Responses 1'!I21:L21), "")</f>
        <v>4.75</v>
      </c>
      <c r="D21" s="11">
        <f>IFERROR(AVERAGE('Form Responses 1'!M21:P21), "")</f>
        <v>1</v>
      </c>
      <c r="E21" s="9" t="str">
        <f t="array" ref="E21">MAX('Form Responses 1'!E21,'Form Responses 1'!I21,'Form Responses 1'!M21)&amp;" - "&amp;INDEX({"ChatGPT","Gemini","Claude"},MATCH(MAX('Form Responses 1'!E21,'Form Responses 1'!I21,'Form Responses 1'!M21),{'Form Responses 1'!E21,'Form Responses 1'!I21,'Form Responses 1'!M21},0))</f>
        <v>5 - Gemini</v>
      </c>
      <c r="F21" s="9" t="str">
        <f t="array" ref="F21">MAX('Form Responses 1'!F21,'Form Responses 1'!J21,'Form Responses 1'!N21)&amp;" - "&amp;INDEX({"ChatGPT","Gemini","Claude"},MATCH(MAX('Form Responses 1'!F21,'Form Responses 1'!J21,'Form Responses 1'!N21),{'Form Responses 1'!F21,'Form Responses 1'!J21,'Form Responses 1'!N21},0))</f>
        <v>5 - Gemini</v>
      </c>
      <c r="G21" s="9" t="str">
        <f t="array" ref="G21">MAX('Form Responses 1'!G21,'Form Responses 1'!K21,'Form Responses 1'!O21)&amp;" - "&amp;INDEX({"ChatGPT","Gemini","Claude"},MATCH(MAX('Form Responses 1'!G21,'Form Responses 1'!K21,'Form Responses 1'!O21),{'Form Responses 1'!G21,'Form Responses 1'!K21,'Form Responses 1'!O21},0))</f>
        <v>4 - Gemini</v>
      </c>
      <c r="H21" s="9" t="str">
        <f t="array" ref="H21">MAX('Form Responses 1'!H21,'Form Responses 1'!L21,'Form Responses 1'!P21)&amp;" - "&amp;INDEX({"ChatGPT","Gemini","Claude"},MATCH(MAX('Form Responses 1'!H21,'Form Responses 1'!L21,'Form Responses 1'!P21),{'Form Responses 1'!H21,'Form Responses 1'!L21,'Form Responses 1'!P21},0))</f>
        <v>5 - Gemini</v>
      </c>
      <c r="K21" s="7">
        <f>IFERROR(SQRT((B21-Cluster!$C$2)^2+(C21-Cluster!$D$2)^2+(D21-Cluster!$E$2)^2),"")</f>
        <v>4.138236339</v>
      </c>
      <c r="L21" s="9">
        <f>IFERROR(SQRT((B21-Cluster!$C$3)^2+(C21-Cluster!$D$3)^2+(D21-Cluster!$E$3)^2),"")</f>
        <v>3.553167601</v>
      </c>
      <c r="M21" s="9">
        <f>IFERROR(SQRT((B21-Cluster!$C$4)^2+(C21-Cluster!$D$4)^2+(D21-Cluster!$E$4)^2),"")</f>
        <v>2.850438563</v>
      </c>
      <c r="O21" s="7">
        <f t="shared" si="1"/>
        <v>3</v>
      </c>
      <c r="R21" s="7">
        <f>IFERROR(SQRT((B21-Cluster!$C$7)^2+(C21-Cluster!$D$7)^2+(D21-Cluster!$E$7)^2),"")</f>
        <v>4.077376608</v>
      </c>
      <c r="S21" s="9">
        <f>IFERROR(SQRT((B21-Cluster!$C$8)^2+(C21-Cluster!$D$8)^2+(D21-Cluster!$E$8)^2),"")</f>
        <v>0.6123724357</v>
      </c>
      <c r="T21" s="9">
        <f>IFERROR(SQRT((B21-Cluster!$C$9)^2+(C21-Cluster!$D$9)^2+(D21-Cluster!$E$9)^2),"")</f>
        <v>5.595757321</v>
      </c>
      <c r="V21" s="9">
        <f t="shared" si="2"/>
        <v>2</v>
      </c>
      <c r="Y21" s="7">
        <f>IFERROR(SQRT((B21-Cluster!$C$12)^2+(C21-Cluster!$D$12)^2+(D21-Cluster!$E$12)^2),"")</f>
        <v>3.020761493</v>
      </c>
      <c r="Z21" s="9">
        <f>IFERROR(SQRT((B21-Cluster!$C$13)^2+(C21-Cluster!$D$13)^2+(D21-Cluster!$E$13)^2),"")</f>
        <v>1.030776406</v>
      </c>
      <c r="AA21" s="9">
        <f>IFERROR(SQRT((B21-Cluster!$C$14)^2+(C21-Cluster!$D$14)^2+(D21-Cluster!$E$14)^2),"")</f>
        <v>3.921096785</v>
      </c>
      <c r="AC21" s="9">
        <f t="shared" si="3"/>
        <v>2</v>
      </c>
      <c r="AF21" s="7">
        <f>IFERROR(SQRT((B21-Cluster!$C$17)^2+(C21-Cluster!$D$17)^2+(D21-Cluster!$E$17)^2),"")</f>
        <v>2.413503677</v>
      </c>
      <c r="AG21" s="9">
        <f>IFERROR(SQRT((B21-Cluster!$C$18)^2+(C21-Cluster!$D$18)^2+(D21-Cluster!$E$18)^2),"")</f>
        <v>2.016184515</v>
      </c>
      <c r="AH21" s="9">
        <f>IFERROR(SQRT((B21-Cluster!$C$19)^2+(C21-Cluster!$D$19)^2+(D21-Cluster!$E$19)^2),"")</f>
        <v>3.440203482</v>
      </c>
      <c r="AJ21" s="9">
        <f t="shared" si="4"/>
        <v>2</v>
      </c>
    </row>
    <row r="22">
      <c r="A22" s="7" t="s">
        <v>133</v>
      </c>
      <c r="B22" s="11">
        <f>IFERROR(AVERAGE('Form Responses 1'!E22:H22), "")</f>
        <v>3</v>
      </c>
      <c r="C22" s="11">
        <f>IFERROR(AVERAGE('Form Responses 1'!I22:L22), "")</f>
        <v>3.25</v>
      </c>
      <c r="D22" s="11">
        <f>IFERROR(AVERAGE('Form Responses 1'!M22:P22), "")</f>
        <v>3</v>
      </c>
      <c r="E22" s="9" t="str">
        <f t="array" ref="E22">MAX('Form Responses 1'!E22,'Form Responses 1'!I22,'Form Responses 1'!M22)&amp;" - "&amp;INDEX({"ChatGPT","Gemini","Claude"},MATCH(MAX('Form Responses 1'!E22,'Form Responses 1'!I22,'Form Responses 1'!M22),{'Form Responses 1'!E22,'Form Responses 1'!I22,'Form Responses 1'!M22},0))</f>
        <v>3 - ChatGPT</v>
      </c>
      <c r="F22" s="9" t="str">
        <f t="array" ref="F22">MAX('Form Responses 1'!F22,'Form Responses 1'!J22,'Form Responses 1'!N22)&amp;" - "&amp;INDEX({"ChatGPT","Gemini","Claude"},MATCH(MAX('Form Responses 1'!F22,'Form Responses 1'!J22,'Form Responses 1'!N22),{'Form Responses 1'!F22,'Form Responses 1'!J22,'Form Responses 1'!N22},0))</f>
        <v>3 - ChatGPT</v>
      </c>
      <c r="G22" s="9" t="str">
        <f t="array" ref="G22">MAX('Form Responses 1'!G22,'Form Responses 1'!K22,'Form Responses 1'!O22)&amp;" - "&amp;INDEX({"ChatGPT","Gemini","Claude"},MATCH(MAX('Form Responses 1'!G22,'Form Responses 1'!K22,'Form Responses 1'!O22),{'Form Responses 1'!G22,'Form Responses 1'!K22,'Form Responses 1'!O22},0))</f>
        <v>3 - ChatGPT</v>
      </c>
      <c r="H22" s="9" t="str">
        <f t="array" ref="H22">MAX('Form Responses 1'!H22,'Form Responses 1'!L22,'Form Responses 1'!P22)&amp;" - "&amp;INDEX({"ChatGPT","Gemini","Claude"},MATCH(MAX('Form Responses 1'!H22,'Form Responses 1'!L22,'Form Responses 1'!P22),{'Form Responses 1'!H22,'Form Responses 1'!L22,'Form Responses 1'!P22},0))</f>
        <v>4 - Gemini</v>
      </c>
      <c r="K22" s="7">
        <f>IFERROR(SQRT((B22-Cluster!$C$2)^2+(C22-Cluster!$D$2)^2+(D22-Cluster!$E$2)^2),"")</f>
        <v>3.614208074</v>
      </c>
      <c r="L22" s="9">
        <f>IFERROR(SQRT((B22-Cluster!$C$3)^2+(C22-Cluster!$D$3)^2+(D22-Cluster!$E$3)^2),"")</f>
        <v>1.436140662</v>
      </c>
      <c r="M22" s="9">
        <f>IFERROR(SQRT((B22-Cluster!$C$4)^2+(C22-Cluster!$D$4)^2+(D22-Cluster!$E$4)^2),"")</f>
        <v>2.839454173</v>
      </c>
      <c r="O22" s="7">
        <f t="shared" si="1"/>
        <v>2</v>
      </c>
      <c r="R22" s="7">
        <f>IFERROR(SQRT((B22-Cluster!$C$7)^2+(C22-Cluster!$D$7)^2+(D22-Cluster!$E$7)^2),"")</f>
        <v>2.839454173</v>
      </c>
      <c r="S22" s="9">
        <f>IFERROR(SQRT((B22-Cluster!$C$8)^2+(C22-Cluster!$D$8)^2+(D22-Cluster!$E$8)^2),"")</f>
        <v>2.586020108</v>
      </c>
      <c r="T22" s="9">
        <f>IFERROR(SQRT((B22-Cluster!$C$9)^2+(C22-Cluster!$D$9)^2+(D22-Cluster!$E$9)^2),"")</f>
        <v>3.464101615</v>
      </c>
      <c r="V22" s="9">
        <f t="shared" si="2"/>
        <v>2</v>
      </c>
      <c r="Y22" s="7">
        <f>IFERROR(SQRT((B22-Cluster!$C$12)^2+(C22-Cluster!$D$12)^2+(D22-Cluster!$E$12)^2),"")</f>
        <v>2.561737691</v>
      </c>
      <c r="Z22" s="9">
        <f>IFERROR(SQRT((B22-Cluster!$C$13)^2+(C22-Cluster!$D$13)^2+(D22-Cluster!$E$13)^2),"")</f>
        <v>1.870828693</v>
      </c>
      <c r="AA22" s="9">
        <f>IFERROR(SQRT((B22-Cluster!$C$14)^2+(C22-Cluster!$D$14)^2+(D22-Cluster!$E$14)^2),"")</f>
        <v>1.520690633</v>
      </c>
      <c r="AC22" s="9">
        <f t="shared" si="3"/>
        <v>3</v>
      </c>
      <c r="AF22" s="7">
        <f>IFERROR(SQRT((B22-Cluster!$C$17)^2+(C22-Cluster!$D$17)^2+(D22-Cluster!$E$17)^2),"")</f>
        <v>2.040220576</v>
      </c>
      <c r="AG22" s="9">
        <f>IFERROR(SQRT((B22-Cluster!$C$18)^2+(C22-Cluster!$D$18)^2+(D22-Cluster!$E$18)^2),"")</f>
        <v>2.720753572</v>
      </c>
      <c r="AH22" s="9">
        <f>IFERROR(SQRT((B22-Cluster!$C$19)^2+(C22-Cluster!$D$19)^2+(D22-Cluster!$E$19)^2),"")</f>
        <v>1.35</v>
      </c>
      <c r="AJ22" s="9">
        <f t="shared" si="4"/>
        <v>3</v>
      </c>
    </row>
    <row r="23">
      <c r="A23" s="7" t="s">
        <v>134</v>
      </c>
      <c r="B23" s="11">
        <f>IFERROR(AVERAGE('Form Responses 1'!E23:H23), "")</f>
        <v>3.75</v>
      </c>
      <c r="C23" s="11">
        <f>IFERROR(AVERAGE('Form Responses 1'!I23:L23), "")</f>
        <v>1</v>
      </c>
      <c r="D23" s="11">
        <f>IFERROR(AVERAGE('Form Responses 1'!M23:P23), "")</f>
        <v>4.5</v>
      </c>
      <c r="E23" s="9" t="str">
        <f t="array" ref="E23">MAX('Form Responses 1'!E23,'Form Responses 1'!I23,'Form Responses 1'!M23)&amp;" - "&amp;INDEX({"ChatGPT","Gemini","Claude"},MATCH(MAX('Form Responses 1'!E23,'Form Responses 1'!I23,'Form Responses 1'!M23),{'Form Responses 1'!E23,'Form Responses 1'!I23,'Form Responses 1'!M23},0))</f>
        <v>3 - Claude</v>
      </c>
      <c r="F23" s="9" t="str">
        <f t="array" ref="F23">MAX('Form Responses 1'!F23,'Form Responses 1'!J23,'Form Responses 1'!N23)&amp;" - "&amp;INDEX({"ChatGPT","Gemini","Claude"},MATCH(MAX('Form Responses 1'!F23,'Form Responses 1'!J23,'Form Responses 1'!N23),{'Form Responses 1'!F23,'Form Responses 1'!J23,'Form Responses 1'!N23},0))</f>
        <v>5 - ChatGPT</v>
      </c>
      <c r="G23" s="9" t="str">
        <f t="array" ref="G23">MAX('Form Responses 1'!G23,'Form Responses 1'!K23,'Form Responses 1'!O23)&amp;" - "&amp;INDEX({"ChatGPT","Gemini","Claude"},MATCH(MAX('Form Responses 1'!G23,'Form Responses 1'!K23,'Form Responses 1'!O23),{'Form Responses 1'!G23,'Form Responses 1'!K23,'Form Responses 1'!O23},0))</f>
        <v>5 - ChatGPT</v>
      </c>
      <c r="H23" s="9" t="str">
        <f t="array" ref="H23">MAX('Form Responses 1'!H23,'Form Responses 1'!L23,'Form Responses 1'!P23)&amp;" - "&amp;INDEX({"ChatGPT","Gemini","Claude"},MATCH(MAX('Form Responses 1'!H23,'Form Responses 1'!L23,'Form Responses 1'!P23),{'Form Responses 1'!H23,'Form Responses 1'!L23,'Form Responses 1'!P23},0))</f>
        <v>5 - Claude</v>
      </c>
      <c r="K23" s="7">
        <f>IFERROR(SQRT((B23-Cluster!$C$2)^2+(C23-Cluster!$D$2)^2+(D23-Cluster!$E$2)^2),"")</f>
        <v>4.451123454</v>
      </c>
      <c r="L23" s="9">
        <f>IFERROR(SQRT((B23-Cluster!$C$3)^2+(C23-Cluster!$D$3)^2+(D23-Cluster!$E$3)^2),"")</f>
        <v>2.704163457</v>
      </c>
      <c r="M23" s="9">
        <f>IFERROR(SQRT((B23-Cluster!$C$4)^2+(C23-Cluster!$D$4)^2+(D23-Cluster!$E$4)^2),"")</f>
        <v>4.220485754</v>
      </c>
      <c r="O23" s="7">
        <f t="shared" si="1"/>
        <v>2</v>
      </c>
      <c r="R23" s="7">
        <f>IFERROR(SQRT((B23-Cluster!$C$7)^2+(C23-Cluster!$D$7)^2+(D23-Cluster!$E$7)^2),"")</f>
        <v>2.839454173</v>
      </c>
      <c r="S23" s="9">
        <f>IFERROR(SQRT((B23-Cluster!$C$8)^2+(C23-Cluster!$D$8)^2+(D23-Cluster!$E$8)^2),"")</f>
        <v>5.367727638</v>
      </c>
      <c r="T23" s="9">
        <f>IFERROR(SQRT((B23-Cluster!$C$9)^2+(C23-Cluster!$D$9)^2+(D23-Cluster!$E$9)^2),"")</f>
        <v>2.80624304</v>
      </c>
      <c r="V23" s="9">
        <f t="shared" si="2"/>
        <v>3</v>
      </c>
      <c r="Y23" s="7">
        <f>IFERROR(SQRT((B23-Cluster!$C$12)^2+(C23-Cluster!$D$12)^2+(D23-Cluster!$E$12)^2),"")</f>
        <v>3.64862988</v>
      </c>
      <c r="Z23" s="9">
        <f>IFERROR(SQRT((B23-Cluster!$C$13)^2+(C23-Cluster!$D$13)^2+(D23-Cluster!$E$13)^2),"")</f>
        <v>4.677071733</v>
      </c>
      <c r="AA23" s="9">
        <f>IFERROR(SQRT((B23-Cluster!$C$14)^2+(C23-Cluster!$D$14)^2+(D23-Cluster!$E$14)^2),"")</f>
        <v>2.136000936</v>
      </c>
      <c r="AC23" s="9">
        <f t="shared" si="3"/>
        <v>3</v>
      </c>
      <c r="AF23" s="7">
        <f>IFERROR(SQRT((B23-Cluster!$C$17)^2+(C23-Cluster!$D$17)^2+(D23-Cluster!$E$17)^2),"")</f>
        <v>3.628015987</v>
      </c>
      <c r="AG23" s="9">
        <f>IFERROR(SQRT((B23-Cluster!$C$18)^2+(C23-Cluster!$D$18)^2+(D23-Cluster!$E$18)^2),"")</f>
        <v>5.315308081</v>
      </c>
      <c r="AH23" s="9">
        <f>IFERROR(SQRT((B23-Cluster!$C$19)^2+(C23-Cluster!$D$19)^2+(D23-Cluster!$E$19)^2),"")</f>
        <v>2.631064423</v>
      </c>
      <c r="AJ23" s="9">
        <f t="shared" si="4"/>
        <v>3</v>
      </c>
    </row>
    <row r="24">
      <c r="A24" s="7" t="s">
        <v>135</v>
      </c>
      <c r="B24" s="11">
        <f>IFERROR(AVERAGE('Form Responses 1'!E24:H24), "")</f>
        <v>4.25</v>
      </c>
      <c r="C24" s="11">
        <f>IFERROR(AVERAGE('Form Responses 1'!I24:L24), "")</f>
        <v>1</v>
      </c>
      <c r="D24" s="11">
        <f>IFERROR(AVERAGE('Form Responses 1'!M24:P24), "")</f>
        <v>5</v>
      </c>
      <c r="E24" s="9" t="str">
        <f t="array" ref="E24">MAX('Form Responses 1'!E24,'Form Responses 1'!I24,'Form Responses 1'!M24)&amp;" - "&amp;INDEX({"ChatGPT","Gemini","Claude"},MATCH(MAX('Form Responses 1'!E24,'Form Responses 1'!I24,'Form Responses 1'!M24),{'Form Responses 1'!E24,'Form Responses 1'!I24,'Form Responses 1'!M24},0))</f>
        <v>5 - ChatGPT</v>
      </c>
      <c r="F24" s="9" t="str">
        <f t="array" ref="F24">MAX('Form Responses 1'!F24,'Form Responses 1'!J24,'Form Responses 1'!N24)&amp;" - "&amp;INDEX({"ChatGPT","Gemini","Claude"},MATCH(MAX('Form Responses 1'!F24,'Form Responses 1'!J24,'Form Responses 1'!N24),{'Form Responses 1'!F24,'Form Responses 1'!J24,'Form Responses 1'!N24},0))</f>
        <v>5 - ChatGPT</v>
      </c>
      <c r="G24" s="9" t="str">
        <f t="array" ref="G24">MAX('Form Responses 1'!G24,'Form Responses 1'!K24,'Form Responses 1'!O24)&amp;" - "&amp;INDEX({"ChatGPT","Gemini","Claude"},MATCH(MAX('Form Responses 1'!G24,'Form Responses 1'!K24,'Form Responses 1'!O24),{'Form Responses 1'!G24,'Form Responses 1'!K24,'Form Responses 1'!O24},0))</f>
        <v>5 - Claude</v>
      </c>
      <c r="H24" s="9" t="str">
        <f t="array" ref="H24">MAX('Form Responses 1'!H24,'Form Responses 1'!L24,'Form Responses 1'!P24)&amp;" - "&amp;INDEX({"ChatGPT","Gemini","Claude"},MATCH(MAX('Form Responses 1'!H24,'Form Responses 1'!L24,'Form Responses 1'!P24),{'Form Responses 1'!H24,'Form Responses 1'!L24,'Form Responses 1'!P24},0))</f>
        <v>5 - Claude</v>
      </c>
      <c r="K24" s="7">
        <f>IFERROR(SQRT((B24-Cluster!$C$2)^2+(C24-Cluster!$D$2)^2+(D24-Cluster!$E$2)^2),"")</f>
        <v>5.153882032</v>
      </c>
      <c r="L24" s="9">
        <f>IFERROR(SQRT((B24-Cluster!$C$3)^2+(C24-Cluster!$D$3)^2+(D24-Cluster!$E$3)^2),"")</f>
        <v>3.172144385</v>
      </c>
      <c r="M24" s="9">
        <f>IFERROR(SQRT((B24-Cluster!$C$4)^2+(C24-Cluster!$D$4)^2+(D24-Cluster!$E$4)^2),"")</f>
        <v>4.534589287</v>
      </c>
      <c r="O24" s="7">
        <f t="shared" si="1"/>
        <v>2</v>
      </c>
      <c r="R24" s="7">
        <f>IFERROR(SQRT((B24-Cluster!$C$7)^2+(C24-Cluster!$D$7)^2+(D24-Cluster!$E$7)^2),"")</f>
        <v>3.132491022</v>
      </c>
      <c r="S24" s="9">
        <f>IFERROR(SQRT((B24-Cluster!$C$8)^2+(C24-Cluster!$D$8)^2+(D24-Cluster!$E$8)^2),"")</f>
        <v>5.836308765</v>
      </c>
      <c r="T24" s="9">
        <f>IFERROR(SQRT((B24-Cluster!$C$9)^2+(C24-Cluster!$D$9)^2+(D24-Cluster!$E$9)^2),"")</f>
        <v>3.259601203</v>
      </c>
      <c r="V24" s="9">
        <f t="shared" si="2"/>
        <v>1</v>
      </c>
      <c r="Y24" s="7">
        <f>IFERROR(SQRT((B24-Cluster!$C$12)^2+(C24-Cluster!$D$12)^2+(D24-Cluster!$E$12)^2),"")</f>
        <v>4.13067791</v>
      </c>
      <c r="Z24" s="9">
        <f>IFERROR(SQRT((B24-Cluster!$C$13)^2+(C24-Cluster!$D$13)^2+(D24-Cluster!$E$13)^2),"")</f>
        <v>5.111262075</v>
      </c>
      <c r="AA24" s="9">
        <f>IFERROR(SQRT((B24-Cluster!$C$14)^2+(C24-Cluster!$D$14)^2+(D24-Cluster!$E$14)^2),"")</f>
        <v>2.41091269</v>
      </c>
      <c r="AC24" s="9">
        <f t="shared" si="3"/>
        <v>3</v>
      </c>
      <c r="AF24" s="7">
        <f>IFERROR(SQRT((B24-Cluster!$C$17)^2+(C24-Cluster!$D$17)^2+(D24-Cluster!$E$17)^2),"")</f>
        <v>4.136725758</v>
      </c>
      <c r="AG24" s="9">
        <f>IFERROR(SQRT((B24-Cluster!$C$18)^2+(C24-Cluster!$D$18)^2+(D24-Cluster!$E$18)^2),"")</f>
        <v>5.831166264</v>
      </c>
      <c r="AH24" s="9">
        <f>IFERROR(SQRT((B24-Cluster!$C$19)^2+(C24-Cluster!$D$19)^2+(D24-Cluster!$E$19)^2),"")</f>
        <v>2.805797569</v>
      </c>
      <c r="AJ24" s="9">
        <f t="shared" si="4"/>
        <v>3</v>
      </c>
    </row>
    <row r="25">
      <c r="A25" s="7" t="s">
        <v>136</v>
      </c>
      <c r="B25" s="11">
        <f>IFERROR(AVERAGE('Form Responses 1'!E25:H25), "")</f>
        <v>4</v>
      </c>
      <c r="C25" s="11">
        <f>IFERROR(AVERAGE('Form Responses 1'!I25:L25), "")</f>
        <v>4</v>
      </c>
      <c r="D25" s="11">
        <f>IFERROR(AVERAGE('Form Responses 1'!M25:P25), "")</f>
        <v>5</v>
      </c>
      <c r="E25" s="9" t="str">
        <f t="array" ref="E25">MAX('Form Responses 1'!E25,'Form Responses 1'!I25,'Form Responses 1'!M25)&amp;" - "&amp;INDEX({"ChatGPT","Gemini","Claude"},MATCH(MAX('Form Responses 1'!E25,'Form Responses 1'!I25,'Form Responses 1'!M25),{'Form Responses 1'!E25,'Form Responses 1'!I25,'Form Responses 1'!M25},0))</f>
        <v>5 - ChatGPT</v>
      </c>
      <c r="F25" s="9" t="str">
        <f t="array" ref="F25">MAX('Form Responses 1'!F25,'Form Responses 1'!J25,'Form Responses 1'!N25)&amp;" - "&amp;INDEX({"ChatGPT","Gemini","Claude"},MATCH(MAX('Form Responses 1'!F25,'Form Responses 1'!J25,'Form Responses 1'!N25),{'Form Responses 1'!F25,'Form Responses 1'!J25,'Form Responses 1'!N25},0))</f>
        <v>5 - Claude</v>
      </c>
      <c r="G25" s="9" t="str">
        <f t="array" ref="G25">MAX('Form Responses 1'!G25,'Form Responses 1'!K25,'Form Responses 1'!O25)&amp;" - "&amp;INDEX({"ChatGPT","Gemini","Claude"},MATCH(MAX('Form Responses 1'!G25,'Form Responses 1'!K25,'Form Responses 1'!O25),{'Form Responses 1'!G25,'Form Responses 1'!K25,'Form Responses 1'!O25},0))</f>
        <v>5 - Gemini</v>
      </c>
      <c r="H25" s="9" t="str">
        <f t="array" ref="H25">MAX('Form Responses 1'!H25,'Form Responses 1'!L25,'Form Responses 1'!P25)&amp;" - "&amp;INDEX({"ChatGPT","Gemini","Claude"},MATCH(MAX('Form Responses 1'!H25,'Form Responses 1'!L25,'Form Responses 1'!P25),{'Form Responses 1'!H25,'Form Responses 1'!L25,'Form Responses 1'!P25},0))</f>
        <v>5 - ChatGPT</v>
      </c>
      <c r="K25" s="7">
        <f>IFERROR(SQRT((B25-Cluster!$C$2)^2+(C25-Cluster!$D$2)^2+(D25-Cluster!$E$2)^2),"")</f>
        <v>5.830951895</v>
      </c>
      <c r="L25" s="9">
        <f>IFERROR(SQRT((B25-Cluster!$C$3)^2+(C25-Cluster!$D$3)^2+(D25-Cluster!$E$3)^2),"")</f>
        <v>2.449489743</v>
      </c>
      <c r="M25" s="9">
        <f>IFERROR(SQRT((B25-Cluster!$C$4)^2+(C25-Cluster!$D$4)^2+(D25-Cluster!$E$4)^2),"")</f>
        <v>4.242640687</v>
      </c>
      <c r="O25" s="7">
        <f t="shared" si="1"/>
        <v>2</v>
      </c>
      <c r="R25" s="7">
        <f>IFERROR(SQRT((B25-Cluster!$C$7)^2+(C25-Cluster!$D$7)^2+(D25-Cluster!$E$7)^2),"")</f>
        <v>4.031128874</v>
      </c>
      <c r="S25" s="9">
        <f>IFERROR(SQRT((B25-Cluster!$C$8)^2+(C25-Cluster!$D$8)^2+(D25-Cluster!$E$8)^2),"")</f>
        <v>4.257346591</v>
      </c>
      <c r="T25" s="9">
        <f>IFERROR(SQRT((B25-Cluster!$C$9)^2+(C25-Cluster!$D$9)^2+(D25-Cluster!$E$9)^2),"")</f>
        <v>4.069705149</v>
      </c>
      <c r="V25" s="9">
        <f t="shared" si="2"/>
        <v>1</v>
      </c>
      <c r="Y25" s="7">
        <f>IFERROR(SQRT((B25-Cluster!$C$12)^2+(C25-Cluster!$D$12)^2+(D25-Cluster!$E$12)^2),"")</f>
        <v>4.472135955</v>
      </c>
      <c r="Z25" s="9">
        <f>IFERROR(SQRT((B25-Cluster!$C$13)^2+(C25-Cluster!$D$13)^2+(D25-Cluster!$E$13)^2),"")</f>
        <v>3.436931771</v>
      </c>
      <c r="AA25" s="9">
        <f>IFERROR(SQRT((B25-Cluster!$C$14)^2+(C25-Cluster!$D$14)^2+(D25-Cluster!$E$14)^2),"")</f>
        <v>1.5</v>
      </c>
      <c r="AC25" s="9">
        <f t="shared" si="3"/>
        <v>3</v>
      </c>
      <c r="AF25" s="7">
        <f>IFERROR(SQRT((B25-Cluster!$C$17)^2+(C25-Cluster!$D$17)^2+(D25-Cluster!$E$17)^2),"")</f>
        <v>4.10487515</v>
      </c>
      <c r="AG25" s="9">
        <f>IFERROR(SQRT((B25-Cluster!$C$18)^2+(C25-Cluster!$D$18)^2+(D25-Cluster!$E$18)^2),"")</f>
        <v>4.317406629</v>
      </c>
      <c r="AH25" s="9">
        <f>IFERROR(SQRT((B25-Cluster!$C$19)^2+(C25-Cluster!$D$19)^2+(D25-Cluster!$E$19)^2),"")</f>
        <v>1.029563014</v>
      </c>
      <c r="AJ25" s="9">
        <f t="shared" si="4"/>
        <v>3</v>
      </c>
    </row>
    <row r="26">
      <c r="A26" s="7" t="s">
        <v>137</v>
      </c>
      <c r="B26" s="11">
        <f>IFERROR(AVERAGE('Form Responses 1'!E26:H26), "")</f>
        <v>2.25</v>
      </c>
      <c r="C26" s="11">
        <f>IFERROR(AVERAGE('Form Responses 1'!I26:L26), "")</f>
        <v>2.5</v>
      </c>
      <c r="D26" s="11">
        <f>IFERROR(AVERAGE('Form Responses 1'!M26:P26), "")</f>
        <v>1.75</v>
      </c>
      <c r="E26" s="9" t="str">
        <f t="array" ref="E26">MAX('Form Responses 1'!E26,'Form Responses 1'!I26,'Form Responses 1'!M26)&amp;" - "&amp;INDEX({"ChatGPT","Gemini","Claude"},MATCH(MAX('Form Responses 1'!E26,'Form Responses 1'!I26,'Form Responses 1'!M26),{'Form Responses 1'!E26,'Form Responses 1'!I26,'Form Responses 1'!M26},0))</f>
        <v>1 - ChatGPT</v>
      </c>
      <c r="F26" s="9" t="str">
        <f t="array" ref="F26">MAX('Form Responses 1'!F26,'Form Responses 1'!J26,'Form Responses 1'!N26)&amp;" - "&amp;INDEX({"ChatGPT","Gemini","Claude"},MATCH(MAX('Form Responses 1'!F26,'Form Responses 1'!J26,'Form Responses 1'!N26),{'Form Responses 1'!F26,'Form Responses 1'!J26,'Form Responses 1'!N26},0))</f>
        <v>3 - ChatGPT</v>
      </c>
      <c r="G26" s="9" t="str">
        <f t="array" ref="G26">MAX('Form Responses 1'!G26,'Form Responses 1'!K26,'Form Responses 1'!O26)&amp;" - "&amp;INDEX({"ChatGPT","Gemini","Claude"},MATCH(MAX('Form Responses 1'!G26,'Form Responses 1'!K26,'Form Responses 1'!O26),{'Form Responses 1'!G26,'Form Responses 1'!K26,'Form Responses 1'!O26},0))</f>
        <v>3 - Gemini</v>
      </c>
      <c r="H26" s="9" t="str">
        <f t="array" ref="H26">MAX('Form Responses 1'!H26,'Form Responses 1'!L26,'Form Responses 1'!P26)&amp;" - "&amp;INDEX({"ChatGPT","Gemini","Claude"},MATCH(MAX('Form Responses 1'!H26,'Form Responses 1'!L26,'Form Responses 1'!P26),{'Form Responses 1'!H26,'Form Responses 1'!L26,'Form Responses 1'!P26},0))</f>
        <v>5 - Gemini</v>
      </c>
      <c r="K26" s="7">
        <f>IFERROR(SQRT((B26-Cluster!$C$2)^2+(C26-Cluster!$D$2)^2+(D26-Cluster!$E$2)^2),"")</f>
        <v>2.091650066</v>
      </c>
      <c r="L26" s="9">
        <f>IFERROR(SQRT((B26-Cluster!$C$3)^2+(C26-Cluster!$D$3)^2+(D26-Cluster!$E$3)^2),"")</f>
        <v>2.318404624</v>
      </c>
      <c r="M26" s="9">
        <f>IFERROR(SQRT((B26-Cluster!$C$4)^2+(C26-Cluster!$D$4)^2+(D26-Cluster!$E$4)^2),"")</f>
        <v>2.893959226</v>
      </c>
      <c r="O26" s="7">
        <f t="shared" si="1"/>
        <v>1</v>
      </c>
      <c r="R26" s="7">
        <f>IFERROR(SQRT((B26-Cluster!$C$7)^2+(C26-Cluster!$D$7)^2+(D26-Cluster!$E$7)^2),"")</f>
        <v>2.936835031</v>
      </c>
      <c r="S26" s="9">
        <f>IFERROR(SQRT((B26-Cluster!$C$8)^2+(C26-Cluster!$D$8)^2+(D26-Cluster!$E$8)^2),"")</f>
        <v>2.549509757</v>
      </c>
      <c r="T26" s="9">
        <f>IFERROR(SQRT((B26-Cluster!$C$9)^2+(C26-Cluster!$D$9)^2+(D26-Cluster!$E$9)^2),"")</f>
        <v>3.699662147</v>
      </c>
      <c r="V26" s="9">
        <f t="shared" si="2"/>
        <v>2</v>
      </c>
      <c r="Y26" s="7">
        <f>IFERROR(SQRT((B26-Cluster!$C$12)^2+(C26-Cluster!$D$12)^2+(D26-Cluster!$E$12)^2),"")</f>
        <v>1.968501969</v>
      </c>
      <c r="Z26" s="9">
        <f>IFERROR(SQRT((B26-Cluster!$C$13)^2+(C26-Cluster!$D$13)^2+(D26-Cluster!$E$13)^2),"")</f>
        <v>2.277608395</v>
      </c>
      <c r="AA26" s="9">
        <f>IFERROR(SQRT((B26-Cluster!$C$14)^2+(C26-Cluster!$D$14)^2+(D26-Cluster!$E$14)^2),"")</f>
        <v>2.893959226</v>
      </c>
      <c r="AC26" s="9">
        <f t="shared" si="3"/>
        <v>1</v>
      </c>
      <c r="AF26" s="7">
        <f>IFERROR(SQRT((B26-Cluster!$C$17)^2+(C26-Cluster!$D$17)^2+(D26-Cluster!$E$17)^2),"")</f>
        <v>1.457737974</v>
      </c>
      <c r="AG26" s="9">
        <f>IFERROR(SQRT((B26-Cluster!$C$18)^2+(C26-Cluster!$D$18)^2+(D26-Cluster!$E$18)^2),"")</f>
        <v>2.629638758</v>
      </c>
      <c r="AH26" s="9">
        <f>IFERROR(SQRT((B26-Cluster!$C$19)^2+(C26-Cluster!$D$19)^2+(D26-Cluster!$E$19)^2),"")</f>
        <v>2.97237279</v>
      </c>
      <c r="AJ26" s="9">
        <f t="shared" si="4"/>
        <v>1</v>
      </c>
    </row>
    <row r="27">
      <c r="A27" s="7" t="s">
        <v>138</v>
      </c>
      <c r="B27" s="11">
        <f>IFERROR(AVERAGE('Form Responses 1'!E27:H27), "")</f>
        <v>3</v>
      </c>
      <c r="C27" s="11">
        <f>IFERROR(AVERAGE('Form Responses 1'!I27:L27), "")</f>
        <v>3</v>
      </c>
      <c r="D27" s="11">
        <f>IFERROR(AVERAGE('Form Responses 1'!M27:P27), "")</f>
        <v>3</v>
      </c>
      <c r="E27" s="9" t="str">
        <f t="array" ref="E27">MAX('Form Responses 1'!E27,'Form Responses 1'!I27,'Form Responses 1'!M27)&amp;" - "&amp;INDEX({"ChatGPT","Gemini","Claude"},MATCH(MAX('Form Responses 1'!E27,'Form Responses 1'!I27,'Form Responses 1'!M27),{'Form Responses 1'!E27,'Form Responses 1'!I27,'Form Responses 1'!M27},0))</f>
        <v>4 - ChatGPT</v>
      </c>
      <c r="F27" s="9" t="str">
        <f t="array" ref="F27">MAX('Form Responses 1'!F27,'Form Responses 1'!J27,'Form Responses 1'!N27)&amp;" - "&amp;INDEX({"ChatGPT","Gemini","Claude"},MATCH(MAX('Form Responses 1'!F27,'Form Responses 1'!J27,'Form Responses 1'!N27),{'Form Responses 1'!F27,'Form Responses 1'!J27,'Form Responses 1'!N27},0))</f>
        <v>2 - ChatGPT</v>
      </c>
      <c r="G27" s="9" t="str">
        <f t="array" ref="G27">MAX('Form Responses 1'!G27,'Form Responses 1'!K27,'Form Responses 1'!O27)&amp;" - "&amp;INDEX({"ChatGPT","Gemini","Claude"},MATCH(MAX('Form Responses 1'!G27,'Form Responses 1'!K27,'Form Responses 1'!O27),{'Form Responses 1'!G27,'Form Responses 1'!K27,'Form Responses 1'!O27},0))</f>
        <v>2 - ChatGPT</v>
      </c>
      <c r="H27" s="9" t="str">
        <f t="array" ref="H27">MAX('Form Responses 1'!H27,'Form Responses 1'!L27,'Form Responses 1'!P27)&amp;" - "&amp;INDEX({"ChatGPT","Gemini","Claude"},MATCH(MAX('Form Responses 1'!H27,'Form Responses 1'!L27,'Form Responses 1'!P27),{'Form Responses 1'!H27,'Form Responses 1'!L27,'Form Responses 1'!P27},0))</f>
        <v>5 - Claude</v>
      </c>
      <c r="K27" s="7">
        <f>IFERROR(SQRT((B27-Cluster!$C$2)^2+(C27-Cluster!$D$2)^2+(D27-Cluster!$E$2)^2),"")</f>
        <v>3.464101615</v>
      </c>
      <c r="L27" s="9">
        <f>IFERROR(SQRT((B27-Cluster!$C$3)^2+(C27-Cluster!$D$3)^2+(D27-Cluster!$E$3)^2),"")</f>
        <v>1.414213562</v>
      </c>
      <c r="M27" s="9">
        <f>IFERROR(SQRT((B27-Cluster!$C$4)^2+(C27-Cluster!$D$4)^2+(D27-Cluster!$E$4)^2),"")</f>
        <v>2.828427125</v>
      </c>
      <c r="O27" s="7">
        <f t="shared" si="1"/>
        <v>2</v>
      </c>
      <c r="R27" s="7">
        <f>IFERROR(SQRT((B27-Cluster!$C$7)^2+(C27-Cluster!$D$7)^2+(D27-Cluster!$E$7)^2),"")</f>
        <v>2.692582404</v>
      </c>
      <c r="S27" s="9">
        <f>IFERROR(SQRT((B27-Cluster!$C$8)^2+(C27-Cluster!$D$8)^2+(D27-Cluster!$E$8)^2),"")</f>
        <v>2.761340254</v>
      </c>
      <c r="T27" s="9">
        <f>IFERROR(SQRT((B27-Cluster!$C$9)^2+(C27-Cluster!$D$9)^2+(D27-Cluster!$E$9)^2),"")</f>
        <v>3.326033674</v>
      </c>
      <c r="V27" s="9">
        <f t="shared" si="2"/>
        <v>1</v>
      </c>
      <c r="Y27" s="7">
        <f>IFERROR(SQRT((B27-Cluster!$C$12)^2+(C27-Cluster!$D$12)^2+(D27-Cluster!$E$12)^2),"")</f>
        <v>2.449489743</v>
      </c>
      <c r="Z27" s="9">
        <f>IFERROR(SQRT((B27-Cluster!$C$13)^2+(C27-Cluster!$D$13)^2+(D27-Cluster!$E$13)^2),"")</f>
        <v>2.076655966</v>
      </c>
      <c r="AA27" s="9">
        <f>IFERROR(SQRT((B27-Cluster!$C$14)^2+(C27-Cluster!$D$14)^2+(D27-Cluster!$E$14)^2),"")</f>
        <v>1.5</v>
      </c>
      <c r="AC27" s="9">
        <f t="shared" si="3"/>
        <v>3</v>
      </c>
      <c r="AF27" s="7">
        <f>IFERROR(SQRT((B27-Cluster!$C$17)^2+(C27-Cluster!$D$17)^2+(D27-Cluster!$E$17)^2),"")</f>
        <v>1.962141687</v>
      </c>
      <c r="AG27" s="9">
        <f>IFERROR(SQRT((B27-Cluster!$C$18)^2+(C27-Cluster!$D$18)^2+(D27-Cluster!$E$18)^2),"")</f>
        <v>2.870540019</v>
      </c>
      <c r="AH27" s="9">
        <f>IFERROR(SQRT((B27-Cluster!$C$19)^2+(C27-Cluster!$D$19)^2+(D27-Cluster!$E$19)^2),"")</f>
        <v>1.435270009</v>
      </c>
      <c r="AJ27" s="9">
        <f t="shared" si="4"/>
        <v>3</v>
      </c>
    </row>
    <row r="28">
      <c r="A28" s="7" t="s">
        <v>139</v>
      </c>
      <c r="B28" s="11">
        <f>IFERROR(AVERAGE('Form Responses 1'!E28:H28), "")</f>
        <v>2.25</v>
      </c>
      <c r="C28" s="11">
        <f>IFERROR(AVERAGE('Form Responses 1'!I28:L28), "")</f>
        <v>4</v>
      </c>
      <c r="D28" s="11">
        <f>IFERROR(AVERAGE('Form Responses 1'!M28:P28), "")</f>
        <v>3.25</v>
      </c>
      <c r="E28" s="9" t="str">
        <f t="array" ref="E28">MAX('Form Responses 1'!E28,'Form Responses 1'!I28,'Form Responses 1'!M28)&amp;" - "&amp;INDEX({"ChatGPT","Gemini","Claude"},MATCH(MAX('Form Responses 1'!E28,'Form Responses 1'!I28,'Form Responses 1'!M28),{'Form Responses 1'!E28,'Form Responses 1'!I28,'Form Responses 1'!M28},0))</f>
        <v>4 - Gemini</v>
      </c>
      <c r="F28" s="9" t="str">
        <f t="array" ref="F28">MAX('Form Responses 1'!F28,'Form Responses 1'!J28,'Form Responses 1'!N28)&amp;" - "&amp;INDEX({"ChatGPT","Gemini","Claude"},MATCH(MAX('Form Responses 1'!F28,'Form Responses 1'!J28,'Form Responses 1'!N28),{'Form Responses 1'!F28,'Form Responses 1'!J28,'Form Responses 1'!N28},0))</f>
        <v>4 - Gemini</v>
      </c>
      <c r="G28" s="9" t="str">
        <f t="array" ref="G28">MAX('Form Responses 1'!G28,'Form Responses 1'!K28,'Form Responses 1'!O28)&amp;" - "&amp;INDEX({"ChatGPT","Gemini","Claude"},MATCH(MAX('Form Responses 1'!G28,'Form Responses 1'!K28,'Form Responses 1'!O28),{'Form Responses 1'!G28,'Form Responses 1'!K28,'Form Responses 1'!O28},0))</f>
        <v>4 - Gemini</v>
      </c>
      <c r="H28" s="9" t="str">
        <f t="array" ref="H28">MAX('Form Responses 1'!H28,'Form Responses 1'!L28,'Form Responses 1'!P28)&amp;" - "&amp;INDEX({"ChatGPT","Gemini","Claude"},MATCH(MAX('Form Responses 1'!H28,'Form Responses 1'!L28,'Form Responses 1'!P28),{'Form Responses 1'!H28,'Form Responses 1'!L28,'Form Responses 1'!P28},0))</f>
        <v>4 - Gemini</v>
      </c>
      <c r="K28" s="7">
        <f>IFERROR(SQRT((B28-Cluster!$C$2)^2+(C28-Cluster!$D$2)^2+(D28-Cluster!$E$2)^2),"")</f>
        <v>3.952847075</v>
      </c>
      <c r="L28" s="9">
        <f>IFERROR(SQRT((B28-Cluster!$C$3)^2+(C28-Cluster!$D$3)^2+(D28-Cluster!$E$3)^2),"")</f>
        <v>1.274754878</v>
      </c>
      <c r="M28" s="9">
        <f>IFERROR(SQRT((B28-Cluster!$C$4)^2+(C28-Cluster!$D$4)^2+(D28-Cluster!$E$4)^2),"")</f>
        <v>3.691205765</v>
      </c>
      <c r="O28" s="7">
        <f t="shared" si="1"/>
        <v>2</v>
      </c>
      <c r="R28" s="7">
        <f>IFERROR(SQRT((B28-Cluster!$C$7)^2+(C28-Cluster!$D$7)^2+(D28-Cluster!$E$7)^2),"")</f>
        <v>3.921096785</v>
      </c>
      <c r="S28" s="9">
        <f>IFERROR(SQRT((B28-Cluster!$C$8)^2+(C28-Cluster!$D$8)^2+(D28-Cluster!$E$8)^2),"")</f>
        <v>2.236067977</v>
      </c>
      <c r="T28" s="9">
        <f>IFERROR(SQRT((B28-Cluster!$C$9)^2+(C28-Cluster!$D$9)^2+(D28-Cluster!$E$9)^2),"")</f>
        <v>3.491060011</v>
      </c>
      <c r="V28" s="9">
        <f t="shared" si="2"/>
        <v>2</v>
      </c>
      <c r="Y28" s="7">
        <f>IFERROR(SQRT((B28-Cluster!$C$12)^2+(C28-Cluster!$D$12)^2+(D28-Cluster!$E$12)^2),"")</f>
        <v>3.482097069</v>
      </c>
      <c r="Z28" s="9">
        <f>IFERROR(SQRT((B28-Cluster!$C$13)^2+(C28-Cluster!$D$13)^2+(D28-Cluster!$E$13)^2),"")</f>
        <v>1.479019946</v>
      </c>
      <c r="AA28" s="9">
        <f>IFERROR(SQRT((B28-Cluster!$C$14)^2+(C28-Cluster!$D$14)^2+(D28-Cluster!$E$14)^2),"")</f>
        <v>1.767766953</v>
      </c>
      <c r="AC28" s="9">
        <f t="shared" si="3"/>
        <v>2</v>
      </c>
      <c r="AF28" s="7">
        <f>IFERROR(SQRT((B28-Cluster!$C$17)^2+(C28-Cluster!$D$17)^2+(D28-Cluster!$E$17)^2),"")</f>
        <v>2.876629973</v>
      </c>
      <c r="AG28" s="9">
        <f>IFERROR(SQRT((B28-Cluster!$C$18)^2+(C28-Cluster!$D$18)^2+(D28-Cluster!$E$18)^2),"")</f>
        <v>1.940360791</v>
      </c>
      <c r="AH28" s="9">
        <f>IFERROR(SQRT((B28-Cluster!$C$19)^2+(C28-Cluster!$D$19)^2+(D28-Cluster!$E$19)^2),"")</f>
        <v>1.727715254</v>
      </c>
      <c r="AJ28" s="9">
        <f t="shared" si="4"/>
        <v>3</v>
      </c>
    </row>
    <row r="29">
      <c r="A29" s="7" t="s">
        <v>140</v>
      </c>
      <c r="B29" s="11" t="str">
        <f>IFERROR(AVERAGE('Form Responses 1'!E44:H44), "")</f>
        <v/>
      </c>
      <c r="C29" s="11" t="str">
        <f>IFERROR(AVERAGE('Form Responses 1'!I44:L44), "")</f>
        <v/>
      </c>
      <c r="D29" s="11" t="str">
        <f>IFERROR(AVERAGE('Form Responses 1'!M44:P44), "")</f>
        <v/>
      </c>
    </row>
    <row r="30">
      <c r="A30" s="7" t="s">
        <v>141</v>
      </c>
      <c r="B30" s="11" t="str">
        <f>IFERROR(AVERAGE('Form Responses 1'!E45:H45), "")</f>
        <v/>
      </c>
      <c r="C30" s="11" t="str">
        <f>IFERROR(AVERAGE('Form Responses 1'!I45:L45), "")</f>
        <v/>
      </c>
      <c r="D30" s="11" t="str">
        <f>IFERROR(AVERAGE('Form Responses 1'!M45:P45), "")</f>
        <v/>
      </c>
    </row>
    <row r="31">
      <c r="A31" s="7" t="s">
        <v>142</v>
      </c>
      <c r="B31" s="11" t="str">
        <f>IFERROR(AVERAGE('Form Responses 1'!E46:H46), "")</f>
        <v/>
      </c>
      <c r="C31" s="11" t="str">
        <f>IFERROR(AVERAGE('Form Responses 1'!I46:L46), "")</f>
        <v/>
      </c>
      <c r="D31" s="11" t="str">
        <f>IFERROR(AVERAGE('Form Responses 1'!M46:P46), "")</f>
        <v/>
      </c>
    </row>
    <row r="32">
      <c r="A32" s="7" t="s">
        <v>143</v>
      </c>
      <c r="B32" s="11" t="str">
        <f>IFERROR(AVERAGE('Form Responses 1'!E47:H47), "")</f>
        <v/>
      </c>
      <c r="C32" s="11" t="str">
        <f>IFERROR(AVERAGE('Form Responses 1'!I47:L47), "")</f>
        <v/>
      </c>
      <c r="D32" s="11" t="str">
        <f>IFERROR(AVERAGE('Form Responses 1'!M47:P47), "")</f>
        <v/>
      </c>
    </row>
    <row r="33">
      <c r="A33" s="7" t="s">
        <v>144</v>
      </c>
      <c r="B33" s="11" t="str">
        <f>IFERROR(AVERAGE('Form Responses 1'!E48:H48), "")</f>
        <v/>
      </c>
      <c r="C33" s="11" t="str">
        <f>IFERROR(AVERAGE('Form Responses 1'!I48:L48), "")</f>
        <v/>
      </c>
      <c r="D33" s="11" t="str">
        <f>IFERROR(AVERAGE('Form Responses 1'!M48:P48), "")</f>
        <v/>
      </c>
    </row>
    <row r="34">
      <c r="A34" s="7" t="s">
        <v>145</v>
      </c>
      <c r="B34" s="11" t="str">
        <f>IFERROR(AVERAGE('Form Responses 1'!E49:H49), "")</f>
        <v/>
      </c>
      <c r="C34" s="11" t="str">
        <f>IFERROR(AVERAGE('Form Responses 1'!I49:L49), "")</f>
        <v/>
      </c>
      <c r="D34" s="11" t="str">
        <f>IFERROR(AVERAGE('Form Responses 1'!M49:P49), "")</f>
        <v/>
      </c>
    </row>
    <row r="35">
      <c r="A35" s="7" t="s">
        <v>146</v>
      </c>
      <c r="B35" s="11" t="str">
        <f>IFERROR(AVERAGE('Form Responses 1'!E50:H50), "")</f>
        <v/>
      </c>
      <c r="C35" s="11" t="str">
        <f>IFERROR(AVERAGE('Form Responses 1'!I50:L50), "")</f>
        <v/>
      </c>
      <c r="D35" s="11" t="str">
        <f>IFERROR(AVERAGE('Form Responses 1'!M50:P50), "")</f>
        <v/>
      </c>
    </row>
    <row r="36">
      <c r="A36" s="7" t="s">
        <v>147</v>
      </c>
      <c r="B36" s="11" t="str">
        <f>IFERROR(AVERAGE('Form Responses 1'!E51:H51), "")</f>
        <v/>
      </c>
      <c r="C36" s="11" t="str">
        <f>IFERROR(AVERAGE('Form Responses 1'!I51:L51), "")</f>
        <v/>
      </c>
      <c r="D36" s="11" t="str">
        <f>IFERROR(AVERAGE('Form Responses 1'!M51:P51), "")</f>
        <v/>
      </c>
    </row>
    <row r="37">
      <c r="A37" s="7" t="s">
        <v>148</v>
      </c>
      <c r="B37" s="11" t="str">
        <f>IFERROR(AVERAGE('Form Responses 1'!E52:H52), "")</f>
        <v/>
      </c>
      <c r="C37" s="11" t="str">
        <f>IFERROR(AVERAGE('Form Responses 1'!I52:L52), "")</f>
        <v/>
      </c>
      <c r="D37" s="11" t="str">
        <f>IFERROR(AVERAGE('Form Responses 1'!M52:P52), "")</f>
        <v/>
      </c>
    </row>
    <row r="38">
      <c r="A38" s="7" t="s">
        <v>149</v>
      </c>
      <c r="B38" s="11" t="str">
        <f>IFERROR(AVERAGE('Form Responses 1'!E53:H53), "")</f>
        <v/>
      </c>
      <c r="C38" s="11" t="str">
        <f>IFERROR(AVERAGE('Form Responses 1'!I53:L53), "")</f>
        <v/>
      </c>
      <c r="D38" s="11" t="str">
        <f>IFERROR(AVERAGE('Form Responses 1'!M53:P53), "")</f>
        <v/>
      </c>
    </row>
    <row r="39">
      <c r="A39" s="7" t="s">
        <v>150</v>
      </c>
      <c r="B39" s="11" t="str">
        <f>IFERROR(AVERAGE('Form Responses 1'!E54:H54), "")</f>
        <v/>
      </c>
      <c r="C39" s="11" t="str">
        <f>IFERROR(AVERAGE('Form Responses 1'!I54:L54), "")</f>
        <v/>
      </c>
      <c r="D39" s="11" t="str">
        <f>IFERROR(AVERAGE('Form Responses 1'!M54:P54), "")</f>
        <v/>
      </c>
    </row>
    <row r="40">
      <c r="A40" s="7" t="s">
        <v>151</v>
      </c>
      <c r="B40" s="11" t="str">
        <f>IFERROR(AVERAGE('Form Responses 1'!E55:H55), "")</f>
        <v/>
      </c>
      <c r="C40" s="11" t="str">
        <f>IFERROR(AVERAGE('Form Responses 1'!I55:L55), "")</f>
        <v/>
      </c>
      <c r="D40" s="11" t="str">
        <f>IFERROR(AVERAGE('Form Responses 1'!M55:P55), "")</f>
        <v/>
      </c>
    </row>
    <row r="41">
      <c r="A41" s="7" t="s">
        <v>152</v>
      </c>
      <c r="B41" s="11" t="str">
        <f>IFERROR(AVERAGE('Form Responses 1'!E56:H56), "")</f>
        <v/>
      </c>
      <c r="C41" s="11" t="str">
        <f>IFERROR(AVERAGE('Form Responses 1'!I56:L56), "")</f>
        <v/>
      </c>
      <c r="D41" s="11" t="str">
        <f>IFERROR(AVERAGE('Form Responses 1'!M56:P56), "")</f>
        <v/>
      </c>
    </row>
    <row r="42">
      <c r="A42" s="7" t="s">
        <v>153</v>
      </c>
      <c r="B42" s="11" t="str">
        <f>IFERROR(AVERAGE('Form Responses 1'!E57:H57), "")</f>
        <v/>
      </c>
      <c r="C42" s="11" t="str">
        <f>IFERROR(AVERAGE('Form Responses 1'!I57:L57), "")</f>
        <v/>
      </c>
      <c r="D42" s="11" t="str">
        <f>IFERROR(AVERAGE('Form Responses 1'!M57:P57), "")</f>
        <v/>
      </c>
    </row>
    <row r="43">
      <c r="A43" s="7" t="s">
        <v>154</v>
      </c>
      <c r="B43" s="11" t="str">
        <f>IFERROR(AVERAGE('Form Responses 1'!E58:H58), "")</f>
        <v/>
      </c>
      <c r="C43" s="11" t="str">
        <f>IFERROR(AVERAGE('Form Responses 1'!I58:L58), "")</f>
        <v/>
      </c>
      <c r="D43" s="11" t="str">
        <f>IFERROR(AVERAGE('Form Responses 1'!M58:P58), "")</f>
        <v/>
      </c>
    </row>
    <row r="44">
      <c r="A44" s="7" t="s">
        <v>155</v>
      </c>
      <c r="B44" s="11" t="str">
        <f>IFERROR(AVERAGE('Form Responses 1'!E59:H59), "")</f>
        <v/>
      </c>
      <c r="C44" s="11" t="str">
        <f>IFERROR(AVERAGE('Form Responses 1'!I59:L59), "")</f>
        <v/>
      </c>
      <c r="D44" s="11" t="str">
        <f>IFERROR(AVERAGE('Form Responses 1'!M59:P59), "")</f>
        <v/>
      </c>
    </row>
    <row r="45">
      <c r="A45" s="7" t="s">
        <v>156</v>
      </c>
      <c r="B45" s="11" t="str">
        <f>IFERROR(AVERAGE('Form Responses 1'!E60:H60), "")</f>
        <v/>
      </c>
      <c r="C45" s="11" t="str">
        <f>IFERROR(AVERAGE('Form Responses 1'!I60:L60), "")</f>
        <v/>
      </c>
      <c r="D45" s="11" t="str">
        <f>IFERROR(AVERAGE('Form Responses 1'!M60:P60), "")</f>
        <v/>
      </c>
    </row>
    <row r="46">
      <c r="A46" s="7" t="s">
        <v>157</v>
      </c>
      <c r="B46" s="11" t="str">
        <f>IFERROR(AVERAGE('Form Responses 1'!E61:H61), "")</f>
        <v/>
      </c>
      <c r="C46" s="11" t="str">
        <f>IFERROR(AVERAGE('Form Responses 1'!I61:L61), "")</f>
        <v/>
      </c>
      <c r="D46" s="11" t="str">
        <f>IFERROR(AVERAGE('Form Responses 1'!M61:P61), "")</f>
        <v/>
      </c>
    </row>
    <row r="47">
      <c r="A47" s="7" t="s">
        <v>158</v>
      </c>
      <c r="B47" s="11" t="str">
        <f>IFERROR(AVERAGE('Form Responses 1'!E62:H62), "")</f>
        <v/>
      </c>
      <c r="C47" s="11" t="str">
        <f>IFERROR(AVERAGE('Form Responses 1'!I62:L62), "")</f>
        <v/>
      </c>
      <c r="D47" s="11" t="str">
        <f>IFERROR(AVERAGE('Form Responses 1'!M62:P62), "")</f>
        <v/>
      </c>
    </row>
    <row r="48">
      <c r="A48" s="7" t="s">
        <v>159</v>
      </c>
      <c r="B48" s="11" t="str">
        <f>IFERROR(AVERAGE('Form Responses 1'!E63:H63), "")</f>
        <v/>
      </c>
      <c r="C48" s="11" t="str">
        <f>IFERROR(AVERAGE('Form Responses 1'!I63:L63), "")</f>
        <v/>
      </c>
      <c r="D48" s="11" t="str">
        <f>IFERROR(AVERAGE('Form Responses 1'!M63:P63), "")</f>
        <v/>
      </c>
    </row>
    <row r="49">
      <c r="A49" s="7" t="s">
        <v>160</v>
      </c>
      <c r="B49" s="11" t="str">
        <f>IFERROR(AVERAGE('Form Responses 1'!E64:H64), "")</f>
        <v/>
      </c>
      <c r="C49" s="11" t="str">
        <f>IFERROR(AVERAGE('Form Responses 1'!I64:L64), "")</f>
        <v/>
      </c>
      <c r="D49" s="11" t="str">
        <f>IFERROR(AVERAGE('Form Responses 1'!M64:P64), "")</f>
        <v/>
      </c>
    </row>
    <row r="50">
      <c r="A50" s="7" t="s">
        <v>161</v>
      </c>
      <c r="B50" s="11" t="str">
        <f>IFERROR(AVERAGE('Form Responses 1'!E65:H65), "")</f>
        <v/>
      </c>
      <c r="C50" s="11" t="str">
        <f>IFERROR(AVERAGE('Form Responses 1'!I65:L65), "")</f>
        <v/>
      </c>
      <c r="D50" s="11" t="str">
        <f>IFERROR(AVERAGE('Form Responses 1'!M65:P65), "")</f>
        <v/>
      </c>
    </row>
    <row r="51">
      <c r="A51" s="7" t="s">
        <v>162</v>
      </c>
      <c r="B51" s="11" t="str">
        <f>IFERROR(AVERAGE('Form Responses 1'!E66:H66), "")</f>
        <v/>
      </c>
      <c r="C51" s="11" t="str">
        <f>IFERROR(AVERAGE('Form Responses 1'!I66:L66), "")</f>
        <v/>
      </c>
      <c r="D51" s="11" t="str">
        <f>IFERROR(AVERAGE('Form Responses 1'!M66:P66), "")</f>
        <v/>
      </c>
    </row>
    <row r="52">
      <c r="A52" s="7" t="s">
        <v>163</v>
      </c>
      <c r="B52" s="11" t="str">
        <f>IFERROR(AVERAGE('Form Responses 1'!E67:H67), "")</f>
        <v/>
      </c>
      <c r="C52" s="11" t="str">
        <f>IFERROR(AVERAGE('Form Responses 1'!I67:L67), "")</f>
        <v/>
      </c>
      <c r="D52" s="11" t="str">
        <f>IFERROR(AVERAGE('Form Responses 1'!M67:P67), "")</f>
        <v/>
      </c>
    </row>
    <row r="53">
      <c r="A53" s="7" t="s">
        <v>164</v>
      </c>
      <c r="B53" s="11" t="str">
        <f>IFERROR(AVERAGE('Form Responses 1'!E68:H68), "")</f>
        <v/>
      </c>
      <c r="C53" s="11" t="str">
        <f>IFERROR(AVERAGE('Form Responses 1'!I68:L68), "")</f>
        <v/>
      </c>
      <c r="D53" s="11" t="str">
        <f>IFERROR(AVERAGE('Form Responses 1'!M68:P68), "")</f>
        <v/>
      </c>
    </row>
    <row r="54">
      <c r="A54" s="7" t="s">
        <v>165</v>
      </c>
      <c r="B54" s="11" t="str">
        <f>IFERROR(AVERAGE('Form Responses 1'!E69:H69), "")</f>
        <v/>
      </c>
      <c r="C54" s="11" t="str">
        <f>IFERROR(AVERAGE('Form Responses 1'!I69:L69), "")</f>
        <v/>
      </c>
      <c r="D54" s="11" t="str">
        <f>IFERROR(AVERAGE('Form Responses 1'!M69:P69), "")</f>
        <v/>
      </c>
    </row>
    <row r="55">
      <c r="A55" s="7" t="s">
        <v>166</v>
      </c>
      <c r="B55" s="11" t="str">
        <f>IFERROR(AVERAGE('Form Responses 1'!E70:H70), "")</f>
        <v/>
      </c>
      <c r="C55" s="11" t="str">
        <f>IFERROR(AVERAGE('Form Responses 1'!I70:L70), "")</f>
        <v/>
      </c>
      <c r="D55" s="11" t="str">
        <f>IFERROR(AVERAGE('Form Responses 1'!M70:P70), "")</f>
        <v/>
      </c>
    </row>
    <row r="56">
      <c r="A56" s="7" t="s">
        <v>167</v>
      </c>
      <c r="B56" s="11" t="str">
        <f>IFERROR(AVERAGE('Form Responses 1'!E71:H71), "")</f>
        <v/>
      </c>
      <c r="C56" s="11" t="str">
        <f>IFERROR(AVERAGE('Form Responses 1'!I71:L71), "")</f>
        <v/>
      </c>
      <c r="D56" s="11" t="str">
        <f>IFERROR(AVERAGE('Form Responses 1'!M71:P71), "")</f>
        <v/>
      </c>
    </row>
    <row r="57">
      <c r="A57" s="7" t="s">
        <v>168</v>
      </c>
      <c r="B57" s="11" t="str">
        <f>IFERROR(AVERAGE('Form Responses 1'!E72:H72), "")</f>
        <v/>
      </c>
      <c r="C57" s="11" t="str">
        <f>IFERROR(AVERAGE('Form Responses 1'!I72:L72), "")</f>
        <v/>
      </c>
      <c r="D57" s="11" t="str">
        <f>IFERROR(AVERAGE('Form Responses 1'!M72:P72), "")</f>
        <v/>
      </c>
    </row>
    <row r="58">
      <c r="A58" s="7" t="s">
        <v>169</v>
      </c>
      <c r="B58" s="11" t="str">
        <f>IFERROR(AVERAGE('Form Responses 1'!E73:H73), "")</f>
        <v/>
      </c>
      <c r="C58" s="11" t="str">
        <f>IFERROR(AVERAGE('Form Responses 1'!I73:L73), "")</f>
        <v/>
      </c>
      <c r="D58" s="11" t="str">
        <f>IFERROR(AVERAGE('Form Responses 1'!M73:P73), "")</f>
        <v/>
      </c>
    </row>
    <row r="59">
      <c r="A59" s="7" t="s">
        <v>170</v>
      </c>
      <c r="B59" s="11" t="str">
        <f>IFERROR(AVERAGE('Form Responses 1'!E74:H74), "")</f>
        <v/>
      </c>
      <c r="C59" s="11" t="str">
        <f>IFERROR(AVERAGE('Form Responses 1'!I74:L74), "")</f>
        <v/>
      </c>
      <c r="D59" s="11" t="str">
        <f>IFERROR(AVERAGE('Form Responses 1'!M74:P74), "")</f>
        <v/>
      </c>
    </row>
    <row r="60">
      <c r="A60" s="7" t="s">
        <v>171</v>
      </c>
      <c r="B60" s="11" t="str">
        <f>IFERROR(AVERAGE('Form Responses 1'!E75:H75), "")</f>
        <v/>
      </c>
      <c r="C60" s="11" t="str">
        <f>IFERROR(AVERAGE('Form Responses 1'!I75:L75), "")</f>
        <v/>
      </c>
      <c r="D60" s="11" t="str">
        <f>IFERROR(AVERAGE('Form Responses 1'!M75:P75), "")</f>
        <v/>
      </c>
    </row>
    <row r="61">
      <c r="A61" s="7" t="s">
        <v>172</v>
      </c>
      <c r="B61" s="11" t="str">
        <f>IFERROR(AVERAGE('Form Responses 1'!E76:H76), "")</f>
        <v/>
      </c>
      <c r="C61" s="11" t="str">
        <f>IFERROR(AVERAGE('Form Responses 1'!I76:L76), "")</f>
        <v/>
      </c>
      <c r="D61" s="11" t="str">
        <f>IFERROR(AVERAGE('Form Responses 1'!M76:P76), "")</f>
        <v/>
      </c>
    </row>
    <row r="62">
      <c r="A62" s="7" t="s">
        <v>173</v>
      </c>
      <c r="B62" s="11" t="str">
        <f>IFERROR(AVERAGE('Form Responses 1'!E77:H77), "")</f>
        <v/>
      </c>
      <c r="C62" s="11" t="str">
        <f>IFERROR(AVERAGE('Form Responses 1'!I77:L77), "")</f>
        <v/>
      </c>
      <c r="D62" s="11" t="str">
        <f>IFERROR(AVERAGE('Form Responses 1'!M77:P77), "")</f>
        <v/>
      </c>
    </row>
    <row r="63">
      <c r="A63" s="7" t="s">
        <v>174</v>
      </c>
      <c r="B63" s="11" t="str">
        <f>IFERROR(AVERAGE('Form Responses 1'!E78:H78), "")</f>
        <v/>
      </c>
      <c r="C63" s="11" t="str">
        <f>IFERROR(AVERAGE('Form Responses 1'!I78:L78), "")</f>
        <v/>
      </c>
      <c r="D63" s="11" t="str">
        <f>IFERROR(AVERAGE('Form Responses 1'!M78:P78), "")</f>
        <v/>
      </c>
    </row>
    <row r="64">
      <c r="A64" s="7" t="s">
        <v>175</v>
      </c>
      <c r="B64" s="11" t="str">
        <f>IFERROR(AVERAGE('Form Responses 1'!E79:H79), "")</f>
        <v/>
      </c>
      <c r="C64" s="11" t="str">
        <f>IFERROR(AVERAGE('Form Responses 1'!I79:L79), "")</f>
        <v/>
      </c>
      <c r="D64" s="11" t="str">
        <f>IFERROR(AVERAGE('Form Responses 1'!M79:P79), "")</f>
        <v/>
      </c>
    </row>
    <row r="65">
      <c r="A65" s="7" t="s">
        <v>176</v>
      </c>
      <c r="B65" s="11" t="str">
        <f>IFERROR(AVERAGE('Form Responses 1'!E80:H80), "")</f>
        <v/>
      </c>
      <c r="C65" s="11" t="str">
        <f>IFERROR(AVERAGE('Form Responses 1'!I80:L80), "")</f>
        <v/>
      </c>
      <c r="D65" s="11" t="str">
        <f>IFERROR(AVERAGE('Form Responses 1'!M80:P80), "")</f>
        <v/>
      </c>
    </row>
    <row r="66">
      <c r="A66" s="7" t="s">
        <v>177</v>
      </c>
      <c r="B66" s="11" t="str">
        <f>IFERROR(AVERAGE('Form Responses 1'!E81:H81), "")</f>
        <v/>
      </c>
      <c r="C66" s="11" t="str">
        <f>IFERROR(AVERAGE('Form Responses 1'!I81:L81), "")</f>
        <v/>
      </c>
      <c r="D66" s="11" t="str">
        <f>IFERROR(AVERAGE('Form Responses 1'!M81:P81), "")</f>
        <v/>
      </c>
    </row>
    <row r="67">
      <c r="A67" s="7" t="s">
        <v>178</v>
      </c>
      <c r="B67" s="11" t="str">
        <f>IFERROR(AVERAGE('Form Responses 1'!E82:H82), "")</f>
        <v/>
      </c>
      <c r="C67" s="11" t="str">
        <f>IFERROR(AVERAGE('Form Responses 1'!I82:L82), "")</f>
        <v/>
      </c>
      <c r="D67" s="11" t="str">
        <f>IFERROR(AVERAGE('Form Responses 1'!M82:P82), "")</f>
        <v/>
      </c>
    </row>
    <row r="68">
      <c r="A68" s="7" t="s">
        <v>179</v>
      </c>
      <c r="B68" s="11" t="str">
        <f>IFERROR(AVERAGE('Form Responses 1'!E83:H83), "")</f>
        <v/>
      </c>
      <c r="C68" s="11" t="str">
        <f>IFERROR(AVERAGE('Form Responses 1'!I83:L83), "")</f>
        <v/>
      </c>
      <c r="D68" s="11" t="str">
        <f>IFERROR(AVERAGE('Form Responses 1'!M83:P83), "")</f>
        <v/>
      </c>
    </row>
    <row r="69">
      <c r="A69" s="7" t="s">
        <v>180</v>
      </c>
      <c r="B69" s="11" t="str">
        <f>IFERROR(AVERAGE('Form Responses 1'!E84:H84), "")</f>
        <v/>
      </c>
      <c r="C69" s="11" t="str">
        <f>IFERROR(AVERAGE('Form Responses 1'!I84:L84), "")</f>
        <v/>
      </c>
      <c r="D69" s="11" t="str">
        <f>IFERROR(AVERAGE('Form Responses 1'!M84:P84), "")</f>
        <v/>
      </c>
    </row>
    <row r="70">
      <c r="A70" s="7" t="s">
        <v>181</v>
      </c>
      <c r="B70" s="11" t="str">
        <f>IFERROR(AVERAGE('Form Responses 1'!E85:H85), "")</f>
        <v/>
      </c>
      <c r="C70" s="11" t="str">
        <f>IFERROR(AVERAGE('Form Responses 1'!I85:L85), "")</f>
        <v/>
      </c>
      <c r="D70" s="11" t="str">
        <f>IFERROR(AVERAGE('Form Responses 1'!M85:P85), "")</f>
        <v/>
      </c>
    </row>
    <row r="71">
      <c r="A71" s="7" t="s">
        <v>182</v>
      </c>
      <c r="B71" s="11" t="str">
        <f>IFERROR(AVERAGE('Form Responses 1'!E86:H86), "")</f>
        <v/>
      </c>
      <c r="C71" s="11" t="str">
        <f>IFERROR(AVERAGE('Form Responses 1'!I86:L86), "")</f>
        <v/>
      </c>
      <c r="D71" s="11" t="str">
        <f>IFERROR(AVERAGE('Form Responses 1'!M86:P86), "")</f>
        <v/>
      </c>
    </row>
    <row r="72">
      <c r="A72" s="7" t="s">
        <v>183</v>
      </c>
      <c r="B72" s="11" t="str">
        <f>IFERROR(AVERAGE('Form Responses 1'!E87:H87), "")</f>
        <v/>
      </c>
      <c r="C72" s="11" t="str">
        <f>IFERROR(AVERAGE('Form Responses 1'!I87:L87), "")</f>
        <v/>
      </c>
      <c r="D72" s="11" t="str">
        <f>IFERROR(AVERAGE('Form Responses 1'!M87:P87), "")</f>
        <v/>
      </c>
    </row>
    <row r="73">
      <c r="A73" s="7" t="s">
        <v>184</v>
      </c>
      <c r="B73" s="11" t="str">
        <f>IFERROR(AVERAGE('Form Responses 1'!E88:H88), "")</f>
        <v/>
      </c>
      <c r="C73" s="11" t="str">
        <f>IFERROR(AVERAGE('Form Responses 1'!I88:L88), "")</f>
        <v/>
      </c>
      <c r="D73" s="11" t="str">
        <f>IFERROR(AVERAGE('Form Responses 1'!M88:P88), "")</f>
        <v/>
      </c>
    </row>
    <row r="74">
      <c r="A74" s="7" t="s">
        <v>185</v>
      </c>
      <c r="B74" s="11" t="str">
        <f>IFERROR(AVERAGE('Form Responses 1'!E89:H89), "")</f>
        <v/>
      </c>
      <c r="C74" s="11" t="str">
        <f>IFERROR(AVERAGE('Form Responses 1'!I89:L89), "")</f>
        <v/>
      </c>
      <c r="D74" s="11" t="str">
        <f>IFERROR(AVERAGE('Form Responses 1'!M89:P89), "")</f>
        <v/>
      </c>
    </row>
    <row r="75">
      <c r="A75" s="7" t="s">
        <v>186</v>
      </c>
      <c r="B75" s="11" t="str">
        <f>IFERROR(AVERAGE('Form Responses 1'!E90:H90), "")</f>
        <v/>
      </c>
      <c r="C75" s="11" t="str">
        <f>IFERROR(AVERAGE('Form Responses 1'!I90:L90), "")</f>
        <v/>
      </c>
      <c r="D75" s="11" t="str">
        <f>IFERROR(AVERAGE('Form Responses 1'!M90:P90), "")</f>
        <v/>
      </c>
    </row>
    <row r="76">
      <c r="A76" s="7" t="s">
        <v>187</v>
      </c>
      <c r="B76" s="11" t="str">
        <f>IFERROR(AVERAGE('Form Responses 1'!E91:H91), "")</f>
        <v/>
      </c>
      <c r="C76" s="11" t="str">
        <f>IFERROR(AVERAGE('Form Responses 1'!I91:L91), "")</f>
        <v/>
      </c>
      <c r="D76" s="11" t="str">
        <f>IFERROR(AVERAGE('Form Responses 1'!M91:P91), "")</f>
        <v/>
      </c>
    </row>
    <row r="77">
      <c r="A77" s="7" t="s">
        <v>188</v>
      </c>
      <c r="B77" s="11" t="str">
        <f>IFERROR(AVERAGE('Form Responses 1'!E92:H92), "")</f>
        <v/>
      </c>
      <c r="C77" s="11" t="str">
        <f>IFERROR(AVERAGE('Form Responses 1'!I92:L92), "")</f>
        <v/>
      </c>
      <c r="D77" s="11" t="str">
        <f>IFERROR(AVERAGE('Form Responses 1'!M92:P92), "")</f>
        <v/>
      </c>
    </row>
    <row r="78">
      <c r="A78" s="7" t="s">
        <v>189</v>
      </c>
      <c r="B78" s="11" t="str">
        <f>IFERROR(AVERAGE('Form Responses 1'!E93:H93), "")</f>
        <v/>
      </c>
      <c r="C78" s="11" t="str">
        <f>IFERROR(AVERAGE('Form Responses 1'!I93:L93), "")</f>
        <v/>
      </c>
      <c r="D78" s="11" t="str">
        <f>IFERROR(AVERAGE('Form Responses 1'!M93:P93), "")</f>
        <v/>
      </c>
    </row>
    <row r="79">
      <c r="A79" s="7" t="s">
        <v>190</v>
      </c>
      <c r="B79" s="11" t="str">
        <f>IFERROR(AVERAGE('Form Responses 1'!E94:H94), "")</f>
        <v/>
      </c>
      <c r="C79" s="11" t="str">
        <f>IFERROR(AVERAGE('Form Responses 1'!I94:L94), "")</f>
        <v/>
      </c>
      <c r="D79" s="11" t="str">
        <f>IFERROR(AVERAGE('Form Responses 1'!M94:P94), "")</f>
        <v/>
      </c>
    </row>
    <row r="80">
      <c r="A80" s="7" t="s">
        <v>191</v>
      </c>
      <c r="B80" s="11" t="str">
        <f>IFERROR(AVERAGE('Form Responses 1'!E95:H95), "")</f>
        <v/>
      </c>
      <c r="C80" s="11" t="str">
        <f>IFERROR(AVERAGE('Form Responses 1'!I95:L95), "")</f>
        <v/>
      </c>
      <c r="D80" s="11" t="str">
        <f>IFERROR(AVERAGE('Form Responses 1'!M95:P95), "")</f>
        <v/>
      </c>
    </row>
    <row r="81">
      <c r="A81" s="7" t="s">
        <v>192</v>
      </c>
      <c r="B81" s="11" t="str">
        <f>IFERROR(AVERAGE('Form Responses 1'!E96:H96), "")</f>
        <v/>
      </c>
      <c r="C81" s="11" t="str">
        <f>IFERROR(AVERAGE('Form Responses 1'!I96:L96), "")</f>
        <v/>
      </c>
      <c r="D81" s="11" t="str">
        <f>IFERROR(AVERAGE('Form Responses 1'!M96:P96), "")</f>
        <v/>
      </c>
    </row>
    <row r="82">
      <c r="A82" s="7" t="s">
        <v>193</v>
      </c>
      <c r="B82" s="11" t="str">
        <f>IFERROR(AVERAGE('Form Responses 1'!E97:H97), "")</f>
        <v/>
      </c>
      <c r="C82" s="11" t="str">
        <f>IFERROR(AVERAGE('Form Responses 1'!I97:L97), "")</f>
        <v/>
      </c>
      <c r="D82" s="11" t="str">
        <f>IFERROR(AVERAGE('Form Responses 1'!M97:P97), "")</f>
        <v/>
      </c>
    </row>
    <row r="83">
      <c r="A83" s="7" t="s">
        <v>194</v>
      </c>
      <c r="B83" s="11" t="str">
        <f>IFERROR(AVERAGE('Form Responses 1'!E98:H98), "")</f>
        <v/>
      </c>
      <c r="C83" s="11" t="str">
        <f>IFERROR(AVERAGE('Form Responses 1'!I98:L98), "")</f>
        <v/>
      </c>
      <c r="D83" s="11" t="str">
        <f>IFERROR(AVERAGE('Form Responses 1'!M98:P98), "")</f>
        <v/>
      </c>
    </row>
    <row r="84">
      <c r="A84" s="7" t="s">
        <v>195</v>
      </c>
      <c r="B84" s="11" t="str">
        <f>IFERROR(AVERAGE('Form Responses 1'!E99:H99), "")</f>
        <v/>
      </c>
      <c r="C84" s="11" t="str">
        <f>IFERROR(AVERAGE('Form Responses 1'!I99:L99), "")</f>
        <v/>
      </c>
      <c r="D84" s="11" t="str">
        <f>IFERROR(AVERAGE('Form Responses 1'!M99:P99), "")</f>
        <v/>
      </c>
    </row>
    <row r="85">
      <c r="A85" s="7" t="s">
        <v>196</v>
      </c>
      <c r="B85" s="11" t="str">
        <f>IFERROR(AVERAGE('Form Responses 1'!E100:H100), "")</f>
        <v/>
      </c>
      <c r="C85" s="11" t="str">
        <f>IFERROR(AVERAGE('Form Responses 1'!I100:L100), "")</f>
        <v/>
      </c>
      <c r="D85" s="11" t="str">
        <f>IFERROR(AVERAGE('Form Responses 1'!M100:P100), "")</f>
        <v/>
      </c>
    </row>
    <row r="86">
      <c r="A86" s="7" t="s">
        <v>197</v>
      </c>
      <c r="B86" s="11" t="str">
        <f>IFERROR(AVERAGE('Form Responses 1'!E101:H101), "")</f>
        <v/>
      </c>
      <c r="C86" s="11" t="str">
        <f>IFERROR(AVERAGE('Form Responses 1'!I101:L101), "")</f>
        <v/>
      </c>
      <c r="D86" s="11" t="str">
        <f>IFERROR(AVERAGE('Form Responses 1'!M101:P101), "")</f>
        <v/>
      </c>
    </row>
    <row r="87">
      <c r="A87" s="7" t="s">
        <v>198</v>
      </c>
      <c r="B87" s="11" t="str">
        <f>IFERROR(AVERAGE('Form Responses 1'!E102:H102), "")</f>
        <v/>
      </c>
      <c r="C87" s="11" t="str">
        <f>IFERROR(AVERAGE('Form Responses 1'!I102:L102), "")</f>
        <v/>
      </c>
      <c r="D87" s="11" t="str">
        <f>IFERROR(AVERAGE('Form Responses 1'!M102:P102), "")</f>
        <v/>
      </c>
    </row>
    <row r="88">
      <c r="A88" s="7" t="s">
        <v>199</v>
      </c>
      <c r="B88" s="11" t="str">
        <f>IFERROR(AVERAGE('Form Responses 1'!E103:H103), "")</f>
        <v/>
      </c>
      <c r="C88" s="11" t="str">
        <f>IFERROR(AVERAGE('Form Responses 1'!I103:L103), "")</f>
        <v/>
      </c>
      <c r="D88" s="11" t="str">
        <f>IFERROR(AVERAGE('Form Responses 1'!M103:P103), "")</f>
        <v/>
      </c>
    </row>
    <row r="89">
      <c r="A89" s="7" t="s">
        <v>200</v>
      </c>
      <c r="B89" s="11" t="str">
        <f>IFERROR(AVERAGE('Form Responses 1'!E104:H104), "")</f>
        <v/>
      </c>
      <c r="C89" s="11" t="str">
        <f>IFERROR(AVERAGE('Form Responses 1'!I104:L104), "")</f>
        <v/>
      </c>
      <c r="D89" s="11" t="str">
        <f>IFERROR(AVERAGE('Form Responses 1'!M104:P104), "")</f>
        <v/>
      </c>
    </row>
    <row r="90">
      <c r="A90" s="7" t="s">
        <v>201</v>
      </c>
      <c r="B90" s="11" t="str">
        <f>IFERROR(AVERAGE('Form Responses 1'!E105:H105), "")</f>
        <v/>
      </c>
      <c r="C90" s="11" t="str">
        <f>IFERROR(AVERAGE('Form Responses 1'!I105:L105), "")</f>
        <v/>
      </c>
      <c r="D90" s="11" t="str">
        <f>IFERROR(AVERAGE('Form Responses 1'!M105:P105), "")</f>
        <v/>
      </c>
    </row>
    <row r="91">
      <c r="A91" s="7" t="s">
        <v>202</v>
      </c>
      <c r="B91" s="11" t="str">
        <f>IFERROR(AVERAGE('Form Responses 1'!E106:H106), "")</f>
        <v/>
      </c>
      <c r="C91" s="11" t="str">
        <f>IFERROR(AVERAGE('Form Responses 1'!I106:L106), "")</f>
        <v/>
      </c>
      <c r="D91" s="11" t="str">
        <f>IFERROR(AVERAGE('Form Responses 1'!M106:P106), "")</f>
        <v/>
      </c>
    </row>
    <row r="92">
      <c r="A92" s="7" t="s">
        <v>203</v>
      </c>
      <c r="B92" s="11" t="str">
        <f>IFERROR(AVERAGE('Form Responses 1'!E107:H107), "")</f>
        <v/>
      </c>
      <c r="C92" s="11" t="str">
        <f>IFERROR(AVERAGE('Form Responses 1'!I107:L107), "")</f>
        <v/>
      </c>
      <c r="D92" s="11" t="str">
        <f>IFERROR(AVERAGE('Form Responses 1'!M107:P107), "")</f>
        <v/>
      </c>
    </row>
    <row r="93">
      <c r="A93" s="7" t="s">
        <v>204</v>
      </c>
      <c r="B93" s="11" t="str">
        <f>IFERROR(AVERAGE('Form Responses 1'!E108:H108), "")</f>
        <v/>
      </c>
      <c r="C93" s="11" t="str">
        <f>IFERROR(AVERAGE('Form Responses 1'!I108:L108), "")</f>
        <v/>
      </c>
      <c r="D93" s="11" t="str">
        <f>IFERROR(AVERAGE('Form Responses 1'!M108:P108), "")</f>
        <v/>
      </c>
    </row>
    <row r="94">
      <c r="A94" s="7" t="s">
        <v>205</v>
      </c>
      <c r="B94" s="11" t="str">
        <f>IFERROR(AVERAGE('Form Responses 1'!E109:H109), "")</f>
        <v/>
      </c>
      <c r="C94" s="11" t="str">
        <f>IFERROR(AVERAGE('Form Responses 1'!I109:L109), "")</f>
        <v/>
      </c>
      <c r="D94" s="11" t="str">
        <f>IFERROR(AVERAGE('Form Responses 1'!M109:P109), "")</f>
        <v/>
      </c>
    </row>
    <row r="95">
      <c r="A95" s="7" t="s">
        <v>206</v>
      </c>
      <c r="B95" s="11" t="str">
        <f>IFERROR(AVERAGE('Form Responses 1'!E110:H110), "")</f>
        <v/>
      </c>
      <c r="C95" s="11" t="str">
        <f>IFERROR(AVERAGE('Form Responses 1'!I110:L110), "")</f>
        <v/>
      </c>
      <c r="D95" s="11" t="str">
        <f>IFERROR(AVERAGE('Form Responses 1'!M110:P110), "")</f>
        <v/>
      </c>
    </row>
    <row r="96">
      <c r="A96" s="7" t="s">
        <v>207</v>
      </c>
      <c r="B96" s="11" t="str">
        <f>IFERROR(AVERAGE('Form Responses 1'!E111:H111), "")</f>
        <v/>
      </c>
      <c r="C96" s="11" t="str">
        <f>IFERROR(AVERAGE('Form Responses 1'!I111:L111), "")</f>
        <v/>
      </c>
      <c r="D96" s="11" t="str">
        <f>IFERROR(AVERAGE('Form Responses 1'!M111:P111), "")</f>
        <v/>
      </c>
    </row>
    <row r="97">
      <c r="A97" s="7" t="s">
        <v>208</v>
      </c>
      <c r="B97" s="11" t="str">
        <f>IFERROR(AVERAGE('Form Responses 1'!E112:H112), "")</f>
        <v/>
      </c>
      <c r="C97" s="11" t="str">
        <f>IFERROR(AVERAGE('Form Responses 1'!I112:L112), "")</f>
        <v/>
      </c>
      <c r="D97" s="11" t="str">
        <f>IFERROR(AVERAGE('Form Responses 1'!M112:P112), "")</f>
        <v/>
      </c>
    </row>
    <row r="98">
      <c r="A98" s="7" t="s">
        <v>209</v>
      </c>
      <c r="B98" s="11" t="str">
        <f>IFERROR(AVERAGE('Form Responses 1'!E113:H113), "")</f>
        <v/>
      </c>
      <c r="C98" s="11" t="str">
        <f>IFERROR(AVERAGE('Form Responses 1'!I113:L113), "")</f>
        <v/>
      </c>
      <c r="D98" s="11" t="str">
        <f>IFERROR(AVERAGE('Form Responses 1'!M113:P113), "")</f>
        <v/>
      </c>
    </row>
    <row r="99">
      <c r="A99" s="7" t="s">
        <v>210</v>
      </c>
      <c r="B99" s="11" t="str">
        <f>IFERROR(AVERAGE('Form Responses 1'!E114:H114), "")</f>
        <v/>
      </c>
      <c r="C99" s="11" t="str">
        <f>IFERROR(AVERAGE('Form Responses 1'!I114:L114), "")</f>
        <v/>
      </c>
      <c r="D99" s="11" t="str">
        <f>IFERROR(AVERAGE('Form Responses 1'!M114:P114), "")</f>
        <v/>
      </c>
    </row>
    <row r="100">
      <c r="A100" s="7" t="s">
        <v>211</v>
      </c>
      <c r="B100" s="11" t="str">
        <f>IFERROR(AVERAGE('Form Responses 1'!E115:H115), "")</f>
        <v/>
      </c>
      <c r="C100" s="11" t="str">
        <f>IFERROR(AVERAGE('Form Responses 1'!I115:L115), "")</f>
        <v/>
      </c>
      <c r="D100" s="11" t="str">
        <f>IFERROR(AVERAGE('Form Responses 1'!M115:P115), "")</f>
        <v/>
      </c>
    </row>
    <row r="101">
      <c r="A101" s="7" t="s">
        <v>212</v>
      </c>
      <c r="B101" s="11" t="str">
        <f>IFERROR(AVERAGE('Form Responses 1'!E116:H116), "")</f>
        <v/>
      </c>
      <c r="C101" s="11" t="str">
        <f>IFERROR(AVERAGE('Form Responses 1'!I116:L116), "")</f>
        <v/>
      </c>
      <c r="D101" s="11" t="str">
        <f>IFERROR(AVERAGE('Form Responses 1'!M116:P116), "")</f>
        <v/>
      </c>
    </row>
    <row r="102">
      <c r="A102" s="7" t="s">
        <v>213</v>
      </c>
      <c r="B102" s="11" t="str">
        <f>IFERROR(AVERAGE('Form Responses 1'!E117:H117), "")</f>
        <v/>
      </c>
      <c r="C102" s="11" t="str">
        <f>IFERROR(AVERAGE('Form Responses 1'!I117:L117), "")</f>
        <v/>
      </c>
      <c r="D102" s="11" t="str">
        <f>IFERROR(AVERAGE('Form Responses 1'!M117:P117), "")</f>
        <v/>
      </c>
    </row>
    <row r="103">
      <c r="A103" s="7" t="s">
        <v>214</v>
      </c>
      <c r="B103" s="11" t="str">
        <f>IFERROR(AVERAGE('Form Responses 1'!E118:H118), "")</f>
        <v/>
      </c>
      <c r="C103" s="11" t="str">
        <f>IFERROR(AVERAGE('Form Responses 1'!I118:L118), "")</f>
        <v/>
      </c>
      <c r="D103" s="11" t="str">
        <f>IFERROR(AVERAGE('Form Responses 1'!M118:P118), "")</f>
        <v/>
      </c>
    </row>
    <row r="104">
      <c r="A104" s="7" t="s">
        <v>215</v>
      </c>
      <c r="B104" s="11" t="str">
        <f>IFERROR(AVERAGE('Form Responses 1'!E119:H119), "")</f>
        <v/>
      </c>
      <c r="C104" s="11" t="str">
        <f>IFERROR(AVERAGE('Form Responses 1'!I119:L119), "")</f>
        <v/>
      </c>
      <c r="D104" s="11" t="str">
        <f>IFERROR(AVERAGE('Form Responses 1'!M119:P119), "")</f>
        <v/>
      </c>
    </row>
    <row r="105">
      <c r="A105" s="7" t="s">
        <v>216</v>
      </c>
      <c r="B105" s="11" t="str">
        <f>IFERROR(AVERAGE('Form Responses 1'!E120:H120), "")</f>
        <v/>
      </c>
      <c r="C105" s="11" t="str">
        <f>IFERROR(AVERAGE('Form Responses 1'!I120:L120), "")</f>
        <v/>
      </c>
      <c r="D105" s="11" t="str">
        <f>IFERROR(AVERAGE('Form Responses 1'!M120:P120), "")</f>
        <v/>
      </c>
    </row>
    <row r="106">
      <c r="A106" s="7" t="s">
        <v>217</v>
      </c>
      <c r="B106" s="11" t="str">
        <f>IFERROR(AVERAGE('Form Responses 1'!E121:H121), "")</f>
        <v/>
      </c>
      <c r="C106" s="11" t="str">
        <f>IFERROR(AVERAGE('Form Responses 1'!I121:L121), "")</f>
        <v/>
      </c>
      <c r="D106" s="11" t="str">
        <f>IFERROR(AVERAGE('Form Responses 1'!M121:P121), "")</f>
        <v/>
      </c>
    </row>
    <row r="107">
      <c r="A107" s="7" t="s">
        <v>218</v>
      </c>
      <c r="B107" s="11" t="str">
        <f>IFERROR(AVERAGE('Form Responses 1'!E122:H122), "")</f>
        <v/>
      </c>
      <c r="C107" s="11" t="str">
        <f>IFERROR(AVERAGE('Form Responses 1'!I122:L122), "")</f>
        <v/>
      </c>
      <c r="D107" s="11" t="str">
        <f>IFERROR(AVERAGE('Form Responses 1'!M122:P122), "")</f>
        <v/>
      </c>
    </row>
    <row r="108">
      <c r="A108" s="7" t="s">
        <v>219</v>
      </c>
      <c r="B108" s="11" t="str">
        <f>IFERROR(AVERAGE('Form Responses 1'!E123:H123), "")</f>
        <v/>
      </c>
      <c r="C108" s="11" t="str">
        <f>IFERROR(AVERAGE('Form Responses 1'!I123:L123), "")</f>
        <v/>
      </c>
      <c r="D108" s="11" t="str">
        <f>IFERROR(AVERAGE('Form Responses 1'!M123:P123), "")</f>
        <v/>
      </c>
    </row>
    <row r="109">
      <c r="A109" s="7" t="s">
        <v>220</v>
      </c>
      <c r="B109" s="11" t="str">
        <f>IFERROR(AVERAGE('Form Responses 1'!E124:H124), "")</f>
        <v/>
      </c>
      <c r="C109" s="11" t="str">
        <f>IFERROR(AVERAGE('Form Responses 1'!I124:L124), "")</f>
        <v/>
      </c>
      <c r="D109" s="11" t="str">
        <f>IFERROR(AVERAGE('Form Responses 1'!M124:P124), "")</f>
        <v/>
      </c>
    </row>
    <row r="110">
      <c r="A110" s="7" t="s">
        <v>221</v>
      </c>
      <c r="B110" s="11" t="str">
        <f>IFERROR(AVERAGE('Form Responses 1'!E125:H125), "")</f>
        <v/>
      </c>
      <c r="C110" s="11" t="str">
        <f>IFERROR(AVERAGE('Form Responses 1'!I125:L125), "")</f>
        <v/>
      </c>
      <c r="D110" s="11" t="str">
        <f>IFERROR(AVERAGE('Form Responses 1'!M125:P125), "")</f>
        <v/>
      </c>
    </row>
    <row r="111">
      <c r="A111" s="7" t="s">
        <v>222</v>
      </c>
      <c r="B111" s="11" t="str">
        <f>IFERROR(AVERAGE('Form Responses 1'!E126:H126), "")</f>
        <v/>
      </c>
      <c r="C111" s="11" t="str">
        <f>IFERROR(AVERAGE('Form Responses 1'!I126:L126), "")</f>
        <v/>
      </c>
      <c r="D111" s="11" t="str">
        <f>IFERROR(AVERAGE('Form Responses 1'!M126:P126), "")</f>
        <v/>
      </c>
    </row>
    <row r="112">
      <c r="A112" s="7" t="s">
        <v>223</v>
      </c>
      <c r="B112" s="11" t="str">
        <f>IFERROR(AVERAGE('Form Responses 1'!E127:H127), "")</f>
        <v/>
      </c>
      <c r="C112" s="11" t="str">
        <f>IFERROR(AVERAGE('Form Responses 1'!I127:L127), "")</f>
        <v/>
      </c>
      <c r="D112" s="11" t="str">
        <f>IFERROR(AVERAGE('Form Responses 1'!M127:P127), "")</f>
        <v/>
      </c>
    </row>
    <row r="113">
      <c r="A113" s="7" t="s">
        <v>224</v>
      </c>
      <c r="B113" s="11" t="str">
        <f>IFERROR(AVERAGE('Form Responses 1'!E128:H128), "")</f>
        <v/>
      </c>
      <c r="C113" s="11" t="str">
        <f>IFERROR(AVERAGE('Form Responses 1'!I128:L128), "")</f>
        <v/>
      </c>
      <c r="D113" s="11" t="str">
        <f>IFERROR(AVERAGE('Form Responses 1'!M128:P128), "")</f>
        <v/>
      </c>
    </row>
    <row r="114">
      <c r="A114" s="7" t="s">
        <v>225</v>
      </c>
      <c r="B114" s="11" t="str">
        <f>IFERROR(AVERAGE('Form Responses 1'!E129:H129), "")</f>
        <v/>
      </c>
      <c r="C114" s="11" t="str">
        <f>IFERROR(AVERAGE('Form Responses 1'!I129:L129), "")</f>
        <v/>
      </c>
      <c r="D114" s="11" t="str">
        <f>IFERROR(AVERAGE('Form Responses 1'!M129:P129), "")</f>
        <v/>
      </c>
    </row>
    <row r="115">
      <c r="A115" s="7" t="s">
        <v>226</v>
      </c>
      <c r="B115" s="11" t="str">
        <f>IFERROR(AVERAGE('Form Responses 1'!E130:H130), "")</f>
        <v/>
      </c>
      <c r="C115" s="11" t="str">
        <f>IFERROR(AVERAGE('Form Responses 1'!I130:L130), "")</f>
        <v/>
      </c>
      <c r="D115" s="11" t="str">
        <f>IFERROR(AVERAGE('Form Responses 1'!M130:P130), "")</f>
        <v/>
      </c>
    </row>
    <row r="116">
      <c r="A116" s="7" t="s">
        <v>227</v>
      </c>
      <c r="B116" s="11" t="str">
        <f>IFERROR(AVERAGE('Form Responses 1'!E131:H131), "")</f>
        <v/>
      </c>
      <c r="C116" s="11" t="str">
        <f>IFERROR(AVERAGE('Form Responses 1'!I131:L131), "")</f>
        <v/>
      </c>
      <c r="D116" s="11" t="str">
        <f>IFERROR(AVERAGE('Form Responses 1'!M131:P131), "")</f>
        <v/>
      </c>
    </row>
    <row r="117">
      <c r="A117" s="7" t="s">
        <v>228</v>
      </c>
      <c r="B117" s="11" t="str">
        <f>IFERROR(AVERAGE('Form Responses 1'!E132:H132), "")</f>
        <v/>
      </c>
      <c r="C117" s="11" t="str">
        <f>IFERROR(AVERAGE('Form Responses 1'!I132:L132), "")</f>
        <v/>
      </c>
      <c r="D117" s="11" t="str">
        <f>IFERROR(AVERAGE('Form Responses 1'!M132:P132), "")</f>
        <v/>
      </c>
    </row>
    <row r="118">
      <c r="A118" s="7" t="s">
        <v>229</v>
      </c>
      <c r="B118" s="11" t="str">
        <f>IFERROR(AVERAGE('Form Responses 1'!E133:H133), "")</f>
        <v/>
      </c>
      <c r="C118" s="11" t="str">
        <f>IFERROR(AVERAGE('Form Responses 1'!I133:L133), "")</f>
        <v/>
      </c>
      <c r="D118" s="11" t="str">
        <f>IFERROR(AVERAGE('Form Responses 1'!M133:P133), "")</f>
        <v/>
      </c>
    </row>
    <row r="119">
      <c r="A119" s="7" t="s">
        <v>230</v>
      </c>
      <c r="B119" s="11" t="str">
        <f>IFERROR(AVERAGE('Form Responses 1'!E134:H134), "")</f>
        <v/>
      </c>
      <c r="C119" s="11" t="str">
        <f>IFERROR(AVERAGE('Form Responses 1'!I134:L134), "")</f>
        <v/>
      </c>
      <c r="D119" s="11" t="str">
        <f>IFERROR(AVERAGE('Form Responses 1'!M134:P134), "")</f>
        <v/>
      </c>
    </row>
    <row r="120">
      <c r="A120" s="7" t="s">
        <v>231</v>
      </c>
      <c r="B120" s="11" t="str">
        <f>IFERROR(AVERAGE('Form Responses 1'!E135:H135), "")</f>
        <v/>
      </c>
      <c r="C120" s="11" t="str">
        <f>IFERROR(AVERAGE('Form Responses 1'!I135:L135), "")</f>
        <v/>
      </c>
      <c r="D120" s="11" t="str">
        <f>IFERROR(AVERAGE('Form Responses 1'!M135:P135), "")</f>
        <v/>
      </c>
    </row>
    <row r="121">
      <c r="A121" s="7" t="s">
        <v>232</v>
      </c>
      <c r="B121" s="11" t="str">
        <f>IFERROR(AVERAGE('Form Responses 1'!E136:H136), "")</f>
        <v/>
      </c>
      <c r="C121" s="11" t="str">
        <f>IFERROR(AVERAGE('Form Responses 1'!I136:L136), "")</f>
        <v/>
      </c>
      <c r="D121" s="11" t="str">
        <f>IFERROR(AVERAGE('Form Responses 1'!M136:P136), "")</f>
        <v/>
      </c>
    </row>
    <row r="122">
      <c r="A122" s="7" t="s">
        <v>233</v>
      </c>
      <c r="B122" s="11" t="str">
        <f>IFERROR(AVERAGE('Form Responses 1'!E137:H137), "")</f>
        <v/>
      </c>
      <c r="C122" s="11" t="str">
        <f>IFERROR(AVERAGE('Form Responses 1'!I137:L137), "")</f>
        <v/>
      </c>
      <c r="D122" s="11" t="str">
        <f>IFERROR(AVERAGE('Form Responses 1'!M137:P137), "")</f>
        <v/>
      </c>
    </row>
    <row r="123">
      <c r="A123" s="7" t="s">
        <v>234</v>
      </c>
      <c r="B123" s="11" t="str">
        <f>IFERROR(AVERAGE('Form Responses 1'!E138:H138), "")</f>
        <v/>
      </c>
      <c r="C123" s="11" t="str">
        <f>IFERROR(AVERAGE('Form Responses 1'!I138:L138), "")</f>
        <v/>
      </c>
      <c r="D123" s="11" t="str">
        <f>IFERROR(AVERAGE('Form Responses 1'!M138:P138), "")</f>
        <v/>
      </c>
    </row>
    <row r="124">
      <c r="A124" s="7" t="s">
        <v>235</v>
      </c>
      <c r="B124" s="11" t="str">
        <f>IFERROR(AVERAGE('Form Responses 1'!E139:H139), "")</f>
        <v/>
      </c>
      <c r="C124" s="11" t="str">
        <f>IFERROR(AVERAGE('Form Responses 1'!I139:L139), "")</f>
        <v/>
      </c>
      <c r="D124" s="11" t="str">
        <f>IFERROR(AVERAGE('Form Responses 1'!M139:P139), "")</f>
        <v/>
      </c>
    </row>
    <row r="125">
      <c r="A125" s="7" t="s">
        <v>236</v>
      </c>
      <c r="B125" s="11" t="str">
        <f>IFERROR(AVERAGE('Form Responses 1'!E140:H140), "")</f>
        <v/>
      </c>
      <c r="C125" s="11" t="str">
        <f>IFERROR(AVERAGE('Form Responses 1'!I140:L140), "")</f>
        <v/>
      </c>
      <c r="D125" s="11" t="str">
        <f>IFERROR(AVERAGE('Form Responses 1'!M140:P140), "")</f>
        <v/>
      </c>
    </row>
    <row r="126">
      <c r="A126" s="7" t="s">
        <v>237</v>
      </c>
      <c r="B126" s="11" t="str">
        <f>IFERROR(AVERAGE('Form Responses 1'!E141:H141), "")</f>
        <v/>
      </c>
      <c r="C126" s="11" t="str">
        <f>IFERROR(AVERAGE('Form Responses 1'!I141:L141), "")</f>
        <v/>
      </c>
      <c r="D126" s="11" t="str">
        <f>IFERROR(AVERAGE('Form Responses 1'!M141:P141), "")</f>
        <v/>
      </c>
    </row>
    <row r="127">
      <c r="A127" s="7" t="s">
        <v>238</v>
      </c>
      <c r="B127" s="11" t="str">
        <f>IFERROR(AVERAGE('Form Responses 1'!E142:H142), "")</f>
        <v/>
      </c>
      <c r="C127" s="11" t="str">
        <f>IFERROR(AVERAGE('Form Responses 1'!I142:L142), "")</f>
        <v/>
      </c>
      <c r="D127" s="11" t="str">
        <f>IFERROR(AVERAGE('Form Responses 1'!M142:P142), "")</f>
        <v/>
      </c>
    </row>
    <row r="128">
      <c r="A128" s="7" t="s">
        <v>239</v>
      </c>
      <c r="B128" s="11" t="str">
        <f>IFERROR(AVERAGE('Form Responses 1'!E143:H143), "")</f>
        <v/>
      </c>
      <c r="C128" s="11" t="str">
        <f>IFERROR(AVERAGE('Form Responses 1'!I143:L143), "")</f>
        <v/>
      </c>
      <c r="D128" s="11" t="str">
        <f>IFERROR(AVERAGE('Form Responses 1'!M143:P143), "")</f>
        <v/>
      </c>
    </row>
    <row r="129">
      <c r="A129" s="7" t="s">
        <v>240</v>
      </c>
      <c r="B129" s="11" t="str">
        <f>IFERROR(AVERAGE('Form Responses 1'!E144:H144), "")</f>
        <v/>
      </c>
      <c r="C129" s="11" t="str">
        <f>IFERROR(AVERAGE('Form Responses 1'!I144:L144), "")</f>
        <v/>
      </c>
      <c r="D129" s="11" t="str">
        <f>IFERROR(AVERAGE('Form Responses 1'!M144:P144), "")</f>
        <v/>
      </c>
    </row>
    <row r="130">
      <c r="A130" s="7" t="s">
        <v>241</v>
      </c>
      <c r="B130" s="11" t="str">
        <f>IFERROR(AVERAGE('Form Responses 1'!E145:H145), "")</f>
        <v/>
      </c>
      <c r="C130" s="11" t="str">
        <f>IFERROR(AVERAGE('Form Responses 1'!I145:L145), "")</f>
        <v/>
      </c>
      <c r="D130" s="11" t="str">
        <f>IFERROR(AVERAGE('Form Responses 1'!M145:P145), "")</f>
        <v/>
      </c>
    </row>
    <row r="131">
      <c r="A131" s="7" t="s">
        <v>242</v>
      </c>
      <c r="B131" s="11" t="str">
        <f>IFERROR(AVERAGE('Form Responses 1'!E146:H146), "")</f>
        <v/>
      </c>
      <c r="C131" s="11" t="str">
        <f>IFERROR(AVERAGE('Form Responses 1'!I146:L146), "")</f>
        <v/>
      </c>
      <c r="D131" s="11" t="str">
        <f>IFERROR(AVERAGE('Form Responses 1'!M146:P146), "")</f>
        <v/>
      </c>
    </row>
    <row r="132">
      <c r="A132" s="7" t="s">
        <v>243</v>
      </c>
      <c r="B132" s="11" t="str">
        <f>IFERROR(AVERAGE('Form Responses 1'!E147:H147), "")</f>
        <v/>
      </c>
      <c r="C132" s="11" t="str">
        <f>IFERROR(AVERAGE('Form Responses 1'!I147:L147), "")</f>
        <v/>
      </c>
      <c r="D132" s="11" t="str">
        <f>IFERROR(AVERAGE('Form Responses 1'!M147:P147), "")</f>
        <v/>
      </c>
    </row>
    <row r="133">
      <c r="A133" s="7" t="s">
        <v>244</v>
      </c>
      <c r="B133" s="11" t="str">
        <f>IFERROR(AVERAGE('Form Responses 1'!E148:H148), "")</f>
        <v/>
      </c>
      <c r="C133" s="11" t="str">
        <f>IFERROR(AVERAGE('Form Responses 1'!I148:L148), "")</f>
        <v/>
      </c>
      <c r="D133" s="11" t="str">
        <f>IFERROR(AVERAGE('Form Responses 1'!M148:P148), "")</f>
        <v/>
      </c>
    </row>
    <row r="134">
      <c r="A134" s="7" t="s">
        <v>245</v>
      </c>
      <c r="B134" s="11" t="str">
        <f>IFERROR(AVERAGE('Form Responses 1'!E149:H149), "")</f>
        <v/>
      </c>
      <c r="C134" s="11" t="str">
        <f>IFERROR(AVERAGE('Form Responses 1'!I149:L149), "")</f>
        <v/>
      </c>
      <c r="D134" s="11" t="str">
        <f>IFERROR(AVERAGE('Form Responses 1'!M149:P149), "")</f>
        <v/>
      </c>
    </row>
    <row r="135">
      <c r="A135" s="7" t="s">
        <v>246</v>
      </c>
      <c r="B135" s="11" t="str">
        <f>IFERROR(AVERAGE('Form Responses 1'!E150:H150), "")</f>
        <v/>
      </c>
      <c r="C135" s="11" t="str">
        <f>IFERROR(AVERAGE('Form Responses 1'!I150:L150), "")</f>
        <v/>
      </c>
      <c r="D135" s="11" t="str">
        <f>IFERROR(AVERAGE('Form Responses 1'!M150:P150), "")</f>
        <v/>
      </c>
    </row>
    <row r="136">
      <c r="A136" s="7" t="s">
        <v>247</v>
      </c>
      <c r="B136" s="11" t="str">
        <f>IFERROR(AVERAGE('Form Responses 1'!E151:H151), "")</f>
        <v/>
      </c>
      <c r="C136" s="11" t="str">
        <f>IFERROR(AVERAGE('Form Responses 1'!I151:L151), "")</f>
        <v/>
      </c>
      <c r="D136" s="11" t="str">
        <f>IFERROR(AVERAGE('Form Responses 1'!M151:P151), "")</f>
        <v/>
      </c>
    </row>
    <row r="137">
      <c r="A137" s="7" t="s">
        <v>248</v>
      </c>
      <c r="B137" s="11" t="str">
        <f>IFERROR(AVERAGE('Form Responses 1'!E152:H152), "")</f>
        <v/>
      </c>
      <c r="C137" s="11" t="str">
        <f>IFERROR(AVERAGE('Form Responses 1'!I152:L152), "")</f>
        <v/>
      </c>
      <c r="D137" s="11" t="str">
        <f>IFERROR(AVERAGE('Form Responses 1'!M152:P152), "")</f>
        <v/>
      </c>
    </row>
    <row r="138">
      <c r="A138" s="7" t="s">
        <v>249</v>
      </c>
      <c r="B138" s="11" t="str">
        <f>IFERROR(AVERAGE('Form Responses 1'!E153:H153), "")</f>
        <v/>
      </c>
      <c r="C138" s="11" t="str">
        <f>IFERROR(AVERAGE('Form Responses 1'!I153:L153), "")</f>
        <v/>
      </c>
      <c r="D138" s="11" t="str">
        <f>IFERROR(AVERAGE('Form Responses 1'!M153:P153), "")</f>
        <v/>
      </c>
    </row>
    <row r="139">
      <c r="A139" s="7" t="s">
        <v>250</v>
      </c>
      <c r="B139" s="11" t="str">
        <f>IFERROR(AVERAGE('Form Responses 1'!E154:H154), "")</f>
        <v/>
      </c>
      <c r="C139" s="11" t="str">
        <f>IFERROR(AVERAGE('Form Responses 1'!I154:L154), "")</f>
        <v/>
      </c>
      <c r="D139" s="11" t="str">
        <f>IFERROR(AVERAGE('Form Responses 1'!M154:P154), "")</f>
        <v/>
      </c>
    </row>
    <row r="140">
      <c r="A140" s="7" t="s">
        <v>251</v>
      </c>
      <c r="B140" s="11" t="str">
        <f>IFERROR(AVERAGE('Form Responses 1'!E155:H155), "")</f>
        <v/>
      </c>
      <c r="C140" s="11" t="str">
        <f>IFERROR(AVERAGE('Form Responses 1'!I155:L155), "")</f>
        <v/>
      </c>
      <c r="D140" s="11" t="str">
        <f>IFERROR(AVERAGE('Form Responses 1'!M155:P155), "")</f>
        <v/>
      </c>
    </row>
    <row r="141">
      <c r="A141" s="7" t="s">
        <v>252</v>
      </c>
      <c r="B141" s="11" t="str">
        <f>IFERROR(AVERAGE('Form Responses 1'!E156:H156), "")</f>
        <v/>
      </c>
      <c r="C141" s="11" t="str">
        <f>IFERROR(AVERAGE('Form Responses 1'!I156:L156), "")</f>
        <v/>
      </c>
      <c r="D141" s="11" t="str">
        <f>IFERROR(AVERAGE('Form Responses 1'!M156:P156), "")</f>
        <v/>
      </c>
    </row>
    <row r="142">
      <c r="A142" s="7" t="s">
        <v>253</v>
      </c>
      <c r="B142" s="11" t="str">
        <f>IFERROR(AVERAGE('Form Responses 1'!E157:H157), "")</f>
        <v/>
      </c>
      <c r="C142" s="11" t="str">
        <f>IFERROR(AVERAGE('Form Responses 1'!I157:L157), "")</f>
        <v/>
      </c>
      <c r="D142" s="11" t="str">
        <f>IFERROR(AVERAGE('Form Responses 1'!M157:P157), "")</f>
        <v/>
      </c>
    </row>
    <row r="143">
      <c r="A143" s="7" t="s">
        <v>254</v>
      </c>
      <c r="B143" s="11" t="str">
        <f>IFERROR(AVERAGE('Form Responses 1'!E158:H158), "")</f>
        <v/>
      </c>
      <c r="C143" s="11" t="str">
        <f>IFERROR(AVERAGE('Form Responses 1'!I158:L158), "")</f>
        <v/>
      </c>
      <c r="D143" s="11" t="str">
        <f>IFERROR(AVERAGE('Form Responses 1'!M158:P158), "")</f>
        <v/>
      </c>
    </row>
    <row r="144">
      <c r="A144" s="7" t="s">
        <v>255</v>
      </c>
      <c r="B144" s="11" t="str">
        <f>IFERROR(AVERAGE('Form Responses 1'!E159:H159), "")</f>
        <v/>
      </c>
      <c r="C144" s="11" t="str">
        <f>IFERROR(AVERAGE('Form Responses 1'!I159:L159), "")</f>
        <v/>
      </c>
      <c r="D144" s="11" t="str">
        <f>IFERROR(AVERAGE('Form Responses 1'!M159:P159), "")</f>
        <v/>
      </c>
    </row>
    <row r="145">
      <c r="A145" s="7" t="s">
        <v>256</v>
      </c>
      <c r="B145" s="11" t="str">
        <f>IFERROR(AVERAGE('Form Responses 1'!E160:H160), "")</f>
        <v/>
      </c>
      <c r="C145" s="11" t="str">
        <f>IFERROR(AVERAGE('Form Responses 1'!I160:L160), "")</f>
        <v/>
      </c>
      <c r="D145" s="11" t="str">
        <f>IFERROR(AVERAGE('Form Responses 1'!M160:P160), "")</f>
        <v/>
      </c>
    </row>
    <row r="146">
      <c r="A146" s="7" t="s">
        <v>257</v>
      </c>
      <c r="B146" s="11" t="str">
        <f>IFERROR(AVERAGE('Form Responses 1'!E161:H161), "")</f>
        <v/>
      </c>
      <c r="C146" s="11" t="str">
        <f>IFERROR(AVERAGE('Form Responses 1'!I161:L161), "")</f>
        <v/>
      </c>
      <c r="D146" s="11" t="str">
        <f>IFERROR(AVERAGE('Form Responses 1'!M161:P161), "")</f>
        <v/>
      </c>
    </row>
    <row r="147">
      <c r="A147" s="7" t="s">
        <v>258</v>
      </c>
      <c r="B147" s="11" t="str">
        <f>IFERROR(AVERAGE('Form Responses 1'!E162:H162), "")</f>
        <v/>
      </c>
      <c r="C147" s="11" t="str">
        <f>IFERROR(AVERAGE('Form Responses 1'!I162:L162), "")</f>
        <v/>
      </c>
      <c r="D147" s="11" t="str">
        <f>IFERROR(AVERAGE('Form Responses 1'!M162:P162), "")</f>
        <v/>
      </c>
    </row>
    <row r="148">
      <c r="B148" s="11"/>
      <c r="C148" s="11"/>
      <c r="D148" s="11"/>
    </row>
    <row r="149">
      <c r="B149" s="11"/>
      <c r="C149" s="11"/>
      <c r="D149" s="11"/>
    </row>
    <row r="150">
      <c r="B150" s="11"/>
      <c r="C150" s="11"/>
      <c r="D150" s="11"/>
    </row>
    <row r="151">
      <c r="B151" s="11"/>
      <c r="C151" s="11"/>
      <c r="D151" s="11"/>
    </row>
    <row r="152">
      <c r="B152" s="11"/>
      <c r="C152" s="11"/>
      <c r="D152" s="11"/>
    </row>
    <row r="153">
      <c r="B153" s="11"/>
      <c r="C153" s="11"/>
      <c r="D153" s="11"/>
    </row>
    <row r="154">
      <c r="B154" s="11"/>
      <c r="C154" s="11"/>
      <c r="D154" s="11"/>
    </row>
    <row r="155">
      <c r="B155" s="11"/>
      <c r="C155" s="11"/>
      <c r="D155" s="11"/>
    </row>
    <row r="156">
      <c r="B156" s="11"/>
      <c r="C156" s="11"/>
      <c r="D156" s="11"/>
    </row>
    <row r="157">
      <c r="B157" s="11"/>
      <c r="C157" s="11"/>
      <c r="D157" s="11"/>
    </row>
    <row r="158">
      <c r="B158" s="11"/>
      <c r="C158" s="11"/>
      <c r="D158" s="11"/>
    </row>
    <row r="159">
      <c r="B159" s="11"/>
      <c r="C159" s="11"/>
      <c r="D159" s="11"/>
    </row>
    <row r="160">
      <c r="B160" s="11"/>
      <c r="C160" s="11"/>
      <c r="D160" s="11"/>
    </row>
    <row r="161">
      <c r="B161" s="11"/>
      <c r="C161" s="11"/>
      <c r="D161" s="11"/>
    </row>
    <row r="162">
      <c r="B162" s="11"/>
      <c r="C162" s="11"/>
      <c r="D162" s="11"/>
    </row>
    <row r="163">
      <c r="B163" s="11"/>
      <c r="C163" s="11"/>
      <c r="D163" s="11"/>
    </row>
    <row r="164">
      <c r="B164" s="11"/>
      <c r="C164" s="11"/>
      <c r="D164" s="11"/>
    </row>
    <row r="165">
      <c r="B165" s="11"/>
      <c r="C165" s="11"/>
      <c r="D165" s="11"/>
    </row>
    <row r="166">
      <c r="B166" s="11"/>
      <c r="C166" s="11"/>
      <c r="D166" s="11"/>
    </row>
    <row r="167">
      <c r="B167" s="11"/>
      <c r="C167" s="11"/>
      <c r="D167" s="11"/>
    </row>
    <row r="168">
      <c r="B168" s="11"/>
      <c r="C168" s="11"/>
      <c r="D168" s="11"/>
    </row>
    <row r="169">
      <c r="B169" s="11"/>
      <c r="C169" s="11"/>
      <c r="D169" s="11"/>
    </row>
    <row r="170">
      <c r="B170" s="11"/>
      <c r="C170" s="11"/>
      <c r="D170" s="11"/>
    </row>
    <row r="171">
      <c r="B171" s="11"/>
      <c r="C171" s="11"/>
      <c r="D171" s="11"/>
    </row>
    <row r="172">
      <c r="B172" s="11"/>
      <c r="C172" s="11"/>
      <c r="D172" s="11"/>
    </row>
    <row r="173">
      <c r="B173" s="11"/>
      <c r="C173" s="11"/>
      <c r="D173" s="11"/>
    </row>
    <row r="174">
      <c r="B174" s="11"/>
      <c r="C174" s="11"/>
      <c r="D174" s="11"/>
    </row>
    <row r="175">
      <c r="B175" s="11"/>
      <c r="C175" s="11"/>
      <c r="D175" s="11"/>
    </row>
    <row r="176">
      <c r="B176" s="11"/>
      <c r="C176" s="11"/>
      <c r="D176" s="11"/>
    </row>
    <row r="177">
      <c r="B177" s="11"/>
      <c r="C177" s="11"/>
      <c r="D177" s="11"/>
    </row>
    <row r="178">
      <c r="B178" s="11"/>
      <c r="C178" s="11"/>
      <c r="D178" s="11"/>
    </row>
    <row r="179">
      <c r="B179" s="11"/>
      <c r="C179" s="11"/>
      <c r="D179" s="11"/>
    </row>
    <row r="180">
      <c r="B180" s="11"/>
      <c r="C180" s="11"/>
      <c r="D180" s="11"/>
    </row>
    <row r="181">
      <c r="B181" s="11"/>
      <c r="C181" s="11"/>
      <c r="D181" s="11"/>
    </row>
    <row r="182">
      <c r="B182" s="11"/>
      <c r="C182" s="11"/>
      <c r="D182" s="11"/>
    </row>
    <row r="183">
      <c r="B183" s="11"/>
      <c r="C183" s="11"/>
      <c r="D183" s="11"/>
    </row>
    <row r="184">
      <c r="B184" s="11"/>
      <c r="C184" s="11"/>
      <c r="D184" s="11"/>
    </row>
    <row r="185">
      <c r="B185" s="11"/>
      <c r="C185" s="11"/>
      <c r="D185" s="11"/>
    </row>
    <row r="186">
      <c r="B186" s="11"/>
      <c r="C186" s="11"/>
      <c r="D186" s="11"/>
    </row>
    <row r="187">
      <c r="B187" s="11"/>
      <c r="C187" s="11"/>
      <c r="D187" s="11"/>
    </row>
    <row r="188">
      <c r="B188" s="11"/>
      <c r="C188" s="11"/>
      <c r="D188" s="11"/>
    </row>
    <row r="189">
      <c r="B189" s="11"/>
      <c r="C189" s="11"/>
      <c r="D189" s="11"/>
    </row>
    <row r="190">
      <c r="B190" s="11"/>
      <c r="C190" s="11"/>
      <c r="D190" s="11"/>
    </row>
    <row r="191">
      <c r="B191" s="11"/>
      <c r="C191" s="11"/>
      <c r="D191" s="11"/>
    </row>
    <row r="192">
      <c r="B192" s="11"/>
      <c r="C192" s="11"/>
      <c r="D192" s="11"/>
    </row>
    <row r="193">
      <c r="B193" s="11"/>
      <c r="C193" s="11"/>
      <c r="D193" s="11"/>
    </row>
    <row r="194">
      <c r="B194" s="11"/>
      <c r="C194" s="11"/>
      <c r="D194" s="11"/>
    </row>
    <row r="195">
      <c r="B195" s="11"/>
      <c r="C195" s="11"/>
      <c r="D195" s="11"/>
    </row>
    <row r="196">
      <c r="B196" s="11"/>
      <c r="C196" s="11"/>
      <c r="D196" s="11"/>
    </row>
    <row r="197">
      <c r="B197" s="11"/>
      <c r="C197" s="11"/>
      <c r="D197" s="11"/>
    </row>
    <row r="198">
      <c r="B198" s="11"/>
      <c r="C198" s="11"/>
      <c r="D198" s="11"/>
    </row>
    <row r="199">
      <c r="B199" s="11"/>
      <c r="C199" s="11"/>
      <c r="D199" s="11"/>
    </row>
    <row r="200">
      <c r="B200" s="11"/>
      <c r="C200" s="11"/>
      <c r="D200" s="11"/>
    </row>
    <row r="201">
      <c r="B201" s="11"/>
      <c r="C201" s="11"/>
      <c r="D201" s="11"/>
    </row>
    <row r="202">
      <c r="B202" s="11"/>
      <c r="C202" s="11"/>
      <c r="D202" s="11"/>
    </row>
    <row r="203">
      <c r="B203" s="11"/>
      <c r="C203" s="11"/>
      <c r="D203" s="11"/>
    </row>
    <row r="204">
      <c r="B204" s="11"/>
      <c r="C204" s="11"/>
      <c r="D204" s="11"/>
    </row>
    <row r="205">
      <c r="B205" s="11"/>
      <c r="C205" s="11"/>
      <c r="D205" s="11"/>
    </row>
    <row r="206">
      <c r="B206" s="11"/>
      <c r="C206" s="11"/>
      <c r="D206" s="11"/>
    </row>
    <row r="207">
      <c r="B207" s="11"/>
      <c r="C207" s="11"/>
      <c r="D207" s="11"/>
    </row>
    <row r="208">
      <c r="B208" s="11"/>
      <c r="C208" s="11"/>
      <c r="D208" s="11"/>
    </row>
    <row r="209">
      <c r="B209" s="11"/>
      <c r="C209" s="11"/>
      <c r="D209" s="11"/>
    </row>
    <row r="210">
      <c r="B210" s="11"/>
      <c r="C210" s="11"/>
      <c r="D210" s="11"/>
    </row>
    <row r="211">
      <c r="B211" s="11"/>
      <c r="C211" s="11"/>
      <c r="D211" s="11"/>
    </row>
    <row r="212">
      <c r="B212" s="11"/>
      <c r="C212" s="11"/>
      <c r="D212" s="11"/>
    </row>
    <row r="213">
      <c r="B213" s="11"/>
      <c r="C213" s="11"/>
      <c r="D213" s="11"/>
    </row>
    <row r="214">
      <c r="B214" s="11"/>
      <c r="C214" s="11"/>
      <c r="D214" s="11"/>
    </row>
    <row r="215">
      <c r="B215" s="11"/>
      <c r="C215" s="11"/>
      <c r="D215" s="11"/>
    </row>
    <row r="216">
      <c r="B216" s="11"/>
      <c r="C216" s="11"/>
      <c r="D216" s="11"/>
    </row>
    <row r="217">
      <c r="B217" s="11"/>
      <c r="C217" s="11"/>
      <c r="D217" s="11"/>
    </row>
    <row r="218">
      <c r="B218" s="11"/>
      <c r="C218" s="11"/>
      <c r="D218" s="11"/>
    </row>
    <row r="219">
      <c r="B219" s="11"/>
      <c r="C219" s="11"/>
      <c r="D219" s="11"/>
    </row>
    <row r="220">
      <c r="B220" s="11"/>
      <c r="C220" s="11"/>
      <c r="D220" s="11"/>
    </row>
    <row r="221">
      <c r="B221" s="11"/>
      <c r="C221" s="11"/>
      <c r="D221" s="11"/>
    </row>
    <row r="222">
      <c r="B222" s="11"/>
      <c r="C222" s="11"/>
      <c r="D222" s="11"/>
    </row>
    <row r="223">
      <c r="B223" s="11"/>
      <c r="C223" s="11"/>
      <c r="D223" s="11"/>
    </row>
    <row r="224">
      <c r="B224" s="11"/>
      <c r="C224" s="11"/>
      <c r="D224" s="11"/>
    </row>
    <row r="225">
      <c r="B225" s="11"/>
      <c r="C225" s="11"/>
      <c r="D225" s="11"/>
    </row>
    <row r="226">
      <c r="B226" s="11"/>
      <c r="C226" s="11"/>
      <c r="D226" s="11"/>
    </row>
    <row r="227">
      <c r="B227" s="11"/>
      <c r="C227" s="11"/>
      <c r="D227" s="11"/>
    </row>
    <row r="228">
      <c r="B228" s="11"/>
      <c r="C228" s="11"/>
      <c r="D228" s="11"/>
    </row>
    <row r="229">
      <c r="B229" s="11"/>
      <c r="C229" s="11"/>
      <c r="D229" s="11"/>
    </row>
    <row r="230">
      <c r="B230" s="11"/>
      <c r="C230" s="11"/>
      <c r="D230" s="11"/>
    </row>
    <row r="231">
      <c r="B231" s="11"/>
      <c r="C231" s="11"/>
      <c r="D231" s="11"/>
    </row>
    <row r="232">
      <c r="B232" s="11"/>
      <c r="C232" s="11"/>
      <c r="D232" s="11"/>
    </row>
    <row r="233">
      <c r="B233" s="11"/>
      <c r="C233" s="11"/>
      <c r="D233" s="11"/>
    </row>
    <row r="234">
      <c r="B234" s="11"/>
      <c r="C234" s="11"/>
      <c r="D234" s="11"/>
    </row>
    <row r="235">
      <c r="B235" s="11"/>
      <c r="C235" s="11"/>
      <c r="D235" s="11"/>
    </row>
    <row r="236">
      <c r="B236" s="11"/>
      <c r="C236" s="11"/>
      <c r="D236" s="11"/>
    </row>
    <row r="237">
      <c r="B237" s="11"/>
      <c r="C237" s="11"/>
      <c r="D237" s="11"/>
    </row>
    <row r="238">
      <c r="B238" s="11"/>
      <c r="C238" s="11"/>
      <c r="D238" s="11"/>
    </row>
    <row r="239">
      <c r="B239" s="11"/>
      <c r="C239" s="11"/>
      <c r="D239" s="11"/>
    </row>
    <row r="240">
      <c r="B240" s="11"/>
      <c r="C240" s="11"/>
      <c r="D240" s="11"/>
    </row>
    <row r="241">
      <c r="B241" s="11"/>
      <c r="C241" s="11"/>
      <c r="D241" s="11"/>
    </row>
    <row r="242">
      <c r="B242" s="11"/>
      <c r="C242" s="11"/>
      <c r="D242" s="11"/>
    </row>
    <row r="243">
      <c r="B243" s="11"/>
      <c r="C243" s="11"/>
      <c r="D243" s="11"/>
    </row>
    <row r="244">
      <c r="B244" s="11"/>
      <c r="C244" s="11"/>
      <c r="D244" s="11"/>
    </row>
    <row r="245">
      <c r="B245" s="11"/>
      <c r="C245" s="11"/>
      <c r="D245" s="11"/>
    </row>
    <row r="246">
      <c r="B246" s="11"/>
      <c r="C246" s="11"/>
      <c r="D246" s="11"/>
    </row>
    <row r="247">
      <c r="B247" s="11"/>
      <c r="C247" s="11"/>
      <c r="D247" s="11"/>
    </row>
    <row r="248">
      <c r="B248" s="11"/>
      <c r="C248" s="11"/>
      <c r="D248" s="11"/>
    </row>
    <row r="249">
      <c r="B249" s="11"/>
      <c r="C249" s="11"/>
      <c r="D249" s="11"/>
    </row>
    <row r="250">
      <c r="B250" s="11"/>
      <c r="C250" s="11"/>
      <c r="D250" s="11"/>
    </row>
    <row r="251">
      <c r="B251" s="11"/>
      <c r="C251" s="11"/>
      <c r="D251" s="11"/>
    </row>
    <row r="252">
      <c r="B252" s="11"/>
      <c r="C252" s="11"/>
      <c r="D252" s="11"/>
    </row>
    <row r="253">
      <c r="B253" s="11"/>
      <c r="C253" s="11"/>
      <c r="D253" s="11"/>
    </row>
    <row r="254">
      <c r="B254" s="11"/>
      <c r="C254" s="11"/>
      <c r="D254" s="11"/>
    </row>
    <row r="255">
      <c r="B255" s="11"/>
      <c r="C255" s="11"/>
      <c r="D255" s="11"/>
    </row>
    <row r="256">
      <c r="B256" s="11"/>
      <c r="C256" s="11"/>
      <c r="D256" s="11"/>
    </row>
    <row r="257">
      <c r="B257" s="11"/>
      <c r="C257" s="11"/>
      <c r="D257" s="11"/>
    </row>
    <row r="258">
      <c r="B258" s="11"/>
      <c r="C258" s="11"/>
      <c r="D258" s="11"/>
    </row>
    <row r="259">
      <c r="B259" s="11"/>
      <c r="C259" s="11"/>
      <c r="D259" s="11"/>
    </row>
    <row r="260">
      <c r="B260" s="11"/>
      <c r="C260" s="11"/>
      <c r="D260" s="11"/>
    </row>
    <row r="261">
      <c r="B261" s="11"/>
      <c r="C261" s="11"/>
      <c r="D261" s="11"/>
    </row>
    <row r="262">
      <c r="B262" s="11"/>
      <c r="C262" s="11"/>
      <c r="D262" s="11"/>
    </row>
    <row r="263">
      <c r="B263" s="11"/>
      <c r="C263" s="11"/>
      <c r="D263" s="11"/>
    </row>
    <row r="264">
      <c r="B264" s="11"/>
      <c r="C264" s="11"/>
      <c r="D264" s="11"/>
    </row>
    <row r="265">
      <c r="B265" s="11"/>
      <c r="C265" s="11"/>
      <c r="D265" s="11"/>
    </row>
    <row r="266">
      <c r="B266" s="11"/>
      <c r="C266" s="11"/>
      <c r="D266" s="11"/>
    </row>
    <row r="267">
      <c r="B267" s="11"/>
      <c r="C267" s="11"/>
      <c r="D267" s="11"/>
    </row>
    <row r="268">
      <c r="B268" s="11"/>
      <c r="C268" s="11"/>
      <c r="D268" s="11"/>
    </row>
    <row r="269">
      <c r="B269" s="11"/>
      <c r="C269" s="11"/>
      <c r="D269" s="11"/>
    </row>
    <row r="270">
      <c r="B270" s="11"/>
      <c r="C270" s="11"/>
      <c r="D270" s="11"/>
    </row>
    <row r="271">
      <c r="B271" s="11"/>
      <c r="C271" s="11"/>
      <c r="D271" s="11"/>
    </row>
    <row r="272">
      <c r="B272" s="11"/>
      <c r="C272" s="11"/>
      <c r="D272" s="11"/>
    </row>
    <row r="273">
      <c r="B273" s="11"/>
      <c r="C273" s="11"/>
      <c r="D273" s="11"/>
    </row>
    <row r="274">
      <c r="B274" s="11"/>
      <c r="C274" s="11"/>
      <c r="D274" s="11"/>
    </row>
    <row r="275">
      <c r="B275" s="11"/>
      <c r="C275" s="11"/>
      <c r="D275" s="11"/>
    </row>
    <row r="276">
      <c r="B276" s="11"/>
      <c r="C276" s="11"/>
      <c r="D276" s="11"/>
    </row>
    <row r="277">
      <c r="B277" s="11"/>
      <c r="C277" s="11"/>
      <c r="D277" s="11"/>
    </row>
    <row r="278">
      <c r="B278" s="11"/>
      <c r="C278" s="11"/>
      <c r="D278" s="11"/>
    </row>
    <row r="279">
      <c r="B279" s="11"/>
      <c r="C279" s="11"/>
      <c r="D279" s="11"/>
    </row>
    <row r="280">
      <c r="B280" s="11"/>
      <c r="C280" s="11"/>
      <c r="D280" s="11"/>
    </row>
    <row r="281">
      <c r="B281" s="11"/>
      <c r="C281" s="11"/>
      <c r="D281" s="11"/>
    </row>
    <row r="282">
      <c r="B282" s="11"/>
      <c r="C282" s="11"/>
      <c r="D282" s="11"/>
    </row>
    <row r="283">
      <c r="B283" s="11"/>
      <c r="C283" s="11"/>
      <c r="D283" s="11"/>
    </row>
    <row r="284">
      <c r="B284" s="11"/>
      <c r="C284" s="11"/>
      <c r="D284" s="11"/>
    </row>
    <row r="285">
      <c r="B285" s="11"/>
      <c r="C285" s="11"/>
      <c r="D285" s="11"/>
    </row>
    <row r="286">
      <c r="B286" s="11"/>
      <c r="C286" s="11"/>
      <c r="D286" s="11"/>
    </row>
    <row r="287">
      <c r="B287" s="11"/>
      <c r="C287" s="11"/>
      <c r="D287" s="11"/>
    </row>
    <row r="288">
      <c r="B288" s="11"/>
      <c r="C288" s="11"/>
      <c r="D288" s="11"/>
    </row>
    <row r="289">
      <c r="B289" s="11"/>
      <c r="C289" s="11"/>
      <c r="D289" s="11"/>
    </row>
    <row r="290">
      <c r="B290" s="11"/>
      <c r="C290" s="11"/>
      <c r="D290" s="11"/>
    </row>
    <row r="291">
      <c r="B291" s="11"/>
      <c r="C291" s="11"/>
      <c r="D291" s="11"/>
    </row>
    <row r="292">
      <c r="B292" s="11"/>
      <c r="C292" s="11"/>
      <c r="D292" s="11"/>
    </row>
    <row r="293">
      <c r="B293" s="11"/>
      <c r="C293" s="11"/>
      <c r="D293" s="11"/>
    </row>
    <row r="294">
      <c r="B294" s="11"/>
      <c r="C294" s="11"/>
      <c r="D294" s="11"/>
    </row>
    <row r="295">
      <c r="B295" s="11"/>
      <c r="C295" s="11"/>
      <c r="D295" s="11"/>
    </row>
    <row r="296">
      <c r="B296" s="11"/>
      <c r="C296" s="11"/>
      <c r="D296" s="11"/>
    </row>
    <row r="297">
      <c r="B297" s="11"/>
      <c r="C297" s="11"/>
      <c r="D297" s="11"/>
    </row>
    <row r="298">
      <c r="B298" s="11"/>
      <c r="C298" s="11"/>
      <c r="D298" s="11"/>
    </row>
    <row r="299">
      <c r="B299" s="11"/>
      <c r="C299" s="11"/>
      <c r="D299" s="11"/>
    </row>
    <row r="300">
      <c r="B300" s="11"/>
      <c r="C300" s="11"/>
      <c r="D300" s="11"/>
    </row>
    <row r="301">
      <c r="B301" s="11"/>
      <c r="C301" s="11"/>
      <c r="D301" s="11"/>
    </row>
    <row r="302">
      <c r="B302" s="11"/>
      <c r="C302" s="11"/>
      <c r="D302" s="11"/>
    </row>
    <row r="303">
      <c r="B303" s="11"/>
      <c r="C303" s="11"/>
      <c r="D303" s="11"/>
    </row>
    <row r="304">
      <c r="B304" s="11"/>
      <c r="C304" s="11"/>
      <c r="D304" s="11"/>
    </row>
    <row r="305">
      <c r="B305" s="11"/>
      <c r="C305" s="11"/>
      <c r="D305" s="11"/>
    </row>
    <row r="306">
      <c r="B306" s="11"/>
      <c r="C306" s="11"/>
      <c r="D306" s="11"/>
    </row>
    <row r="307">
      <c r="B307" s="11"/>
      <c r="C307" s="11"/>
      <c r="D307" s="11"/>
    </row>
    <row r="308">
      <c r="B308" s="11"/>
      <c r="C308" s="11"/>
      <c r="D308" s="11"/>
    </row>
    <row r="309">
      <c r="B309" s="11"/>
      <c r="C309" s="11"/>
      <c r="D309" s="11"/>
    </row>
    <row r="310">
      <c r="B310" s="11"/>
      <c r="C310" s="11"/>
      <c r="D310" s="11"/>
    </row>
    <row r="311">
      <c r="B311" s="11"/>
      <c r="C311" s="11"/>
      <c r="D311" s="11"/>
    </row>
    <row r="312">
      <c r="B312" s="11"/>
      <c r="C312" s="11"/>
      <c r="D312" s="11"/>
    </row>
    <row r="313">
      <c r="B313" s="11"/>
      <c r="C313" s="11"/>
      <c r="D313" s="11"/>
    </row>
    <row r="314">
      <c r="B314" s="11"/>
      <c r="C314" s="11"/>
      <c r="D314" s="11"/>
    </row>
    <row r="315">
      <c r="B315" s="11"/>
      <c r="C315" s="11"/>
      <c r="D315" s="11"/>
    </row>
    <row r="316">
      <c r="B316" s="11"/>
      <c r="C316" s="11"/>
      <c r="D316" s="11"/>
    </row>
    <row r="317">
      <c r="B317" s="11"/>
      <c r="C317" s="11"/>
      <c r="D317" s="11"/>
    </row>
    <row r="318">
      <c r="B318" s="11"/>
      <c r="C318" s="11"/>
      <c r="D318" s="11"/>
    </row>
    <row r="319">
      <c r="B319" s="11"/>
      <c r="C319" s="11"/>
      <c r="D319" s="11"/>
    </row>
    <row r="320">
      <c r="B320" s="11"/>
      <c r="C320" s="11"/>
      <c r="D320" s="11"/>
    </row>
    <row r="321">
      <c r="B321" s="11"/>
      <c r="C321" s="11"/>
      <c r="D321" s="11"/>
    </row>
    <row r="322">
      <c r="B322" s="11"/>
      <c r="C322" s="11"/>
      <c r="D322" s="11"/>
    </row>
    <row r="323">
      <c r="B323" s="11"/>
      <c r="C323" s="11"/>
      <c r="D323" s="11"/>
    </row>
    <row r="324">
      <c r="B324" s="11"/>
      <c r="C324" s="11"/>
      <c r="D324" s="11"/>
    </row>
    <row r="325">
      <c r="B325" s="11"/>
      <c r="C325" s="11"/>
      <c r="D325" s="11"/>
    </row>
    <row r="326">
      <c r="B326" s="11"/>
      <c r="C326" s="11"/>
      <c r="D326" s="11"/>
    </row>
    <row r="327">
      <c r="B327" s="11"/>
      <c r="C327" s="11"/>
      <c r="D327" s="11"/>
    </row>
    <row r="328">
      <c r="B328" s="11"/>
      <c r="C328" s="11"/>
      <c r="D328" s="11"/>
    </row>
    <row r="329">
      <c r="B329" s="11"/>
      <c r="C329" s="11"/>
      <c r="D329" s="11"/>
    </row>
    <row r="330">
      <c r="B330" s="11"/>
      <c r="C330" s="11"/>
      <c r="D330" s="11"/>
    </row>
    <row r="331">
      <c r="B331" s="11"/>
      <c r="C331" s="11"/>
      <c r="D331" s="11"/>
    </row>
    <row r="332">
      <c r="B332" s="11"/>
      <c r="C332" s="11"/>
      <c r="D332" s="11"/>
    </row>
    <row r="333">
      <c r="B333" s="11"/>
      <c r="C333" s="11"/>
      <c r="D333" s="11"/>
    </row>
    <row r="334">
      <c r="B334" s="11"/>
      <c r="C334" s="11"/>
      <c r="D334" s="11"/>
    </row>
    <row r="335">
      <c r="B335" s="11"/>
      <c r="C335" s="11"/>
      <c r="D335" s="11"/>
    </row>
    <row r="336">
      <c r="B336" s="11"/>
      <c r="C336" s="11"/>
      <c r="D336" s="11"/>
    </row>
    <row r="337">
      <c r="B337" s="11"/>
      <c r="C337" s="11"/>
      <c r="D337" s="11"/>
    </row>
    <row r="338">
      <c r="B338" s="11"/>
      <c r="C338" s="11"/>
      <c r="D338" s="11"/>
    </row>
    <row r="339">
      <c r="B339" s="11"/>
      <c r="C339" s="11"/>
      <c r="D339" s="11"/>
    </row>
    <row r="340">
      <c r="B340" s="11"/>
      <c r="C340" s="11"/>
      <c r="D340" s="11"/>
    </row>
    <row r="341">
      <c r="B341" s="11"/>
      <c r="C341" s="11"/>
      <c r="D341" s="11"/>
    </row>
    <row r="342">
      <c r="B342" s="11"/>
      <c r="C342" s="11"/>
      <c r="D342" s="11"/>
    </row>
    <row r="343">
      <c r="B343" s="11"/>
      <c r="C343" s="11"/>
      <c r="D343" s="11"/>
    </row>
    <row r="344">
      <c r="B344" s="11"/>
      <c r="C344" s="11"/>
      <c r="D344" s="11"/>
    </row>
    <row r="345">
      <c r="B345" s="11"/>
      <c r="C345" s="11"/>
      <c r="D345" s="11"/>
    </row>
    <row r="346">
      <c r="B346" s="11"/>
      <c r="C346" s="11"/>
      <c r="D346" s="11"/>
    </row>
    <row r="347">
      <c r="B347" s="11"/>
      <c r="C347" s="11"/>
      <c r="D347" s="11"/>
    </row>
    <row r="348">
      <c r="B348" s="11"/>
      <c r="C348" s="11"/>
      <c r="D348" s="11"/>
    </row>
    <row r="349">
      <c r="B349" s="11"/>
      <c r="C349" s="11"/>
      <c r="D349" s="11"/>
    </row>
    <row r="350">
      <c r="B350" s="11"/>
      <c r="C350" s="11"/>
      <c r="D350" s="11"/>
    </row>
    <row r="351">
      <c r="B351" s="11"/>
      <c r="C351" s="11"/>
      <c r="D351" s="11"/>
    </row>
    <row r="352">
      <c r="B352" s="11"/>
      <c r="C352" s="11"/>
      <c r="D352" s="11"/>
    </row>
    <row r="353">
      <c r="B353" s="11"/>
      <c r="C353" s="11"/>
      <c r="D353" s="11"/>
    </row>
    <row r="354">
      <c r="B354" s="11"/>
      <c r="C354" s="11"/>
      <c r="D354" s="11"/>
    </row>
    <row r="355">
      <c r="B355" s="11"/>
      <c r="C355" s="11"/>
      <c r="D355" s="11"/>
    </row>
    <row r="356">
      <c r="B356" s="11"/>
      <c r="C356" s="11"/>
      <c r="D356" s="11"/>
    </row>
    <row r="357">
      <c r="B357" s="11"/>
      <c r="C357" s="11"/>
      <c r="D357" s="11"/>
    </row>
    <row r="358">
      <c r="B358" s="11"/>
      <c r="C358" s="11"/>
      <c r="D358" s="11"/>
    </row>
    <row r="359">
      <c r="B359" s="11"/>
      <c r="C359" s="11"/>
      <c r="D359" s="11"/>
    </row>
    <row r="360">
      <c r="B360" s="11"/>
      <c r="C360" s="11"/>
      <c r="D360" s="11"/>
    </row>
    <row r="361">
      <c r="B361" s="11"/>
      <c r="C361" s="11"/>
      <c r="D361" s="11"/>
    </row>
    <row r="362">
      <c r="B362" s="11"/>
      <c r="C362" s="11"/>
      <c r="D362" s="11"/>
    </row>
    <row r="363">
      <c r="B363" s="11"/>
      <c r="C363" s="11"/>
      <c r="D363" s="11"/>
    </row>
    <row r="364">
      <c r="B364" s="11"/>
      <c r="C364" s="11"/>
      <c r="D364" s="11"/>
    </row>
    <row r="365">
      <c r="B365" s="11"/>
      <c r="C365" s="11"/>
      <c r="D365" s="11"/>
    </row>
    <row r="366">
      <c r="B366" s="11"/>
      <c r="C366" s="11"/>
      <c r="D366" s="11"/>
    </row>
    <row r="367">
      <c r="B367" s="11"/>
      <c r="C367" s="11"/>
      <c r="D367" s="11"/>
    </row>
    <row r="368">
      <c r="B368" s="11"/>
      <c r="C368" s="11"/>
      <c r="D368" s="11"/>
    </row>
    <row r="369">
      <c r="B369" s="11"/>
      <c r="C369" s="11"/>
      <c r="D369" s="11"/>
    </row>
    <row r="370">
      <c r="B370" s="11"/>
      <c r="C370" s="11"/>
      <c r="D370" s="11"/>
    </row>
    <row r="371">
      <c r="B371" s="11"/>
      <c r="C371" s="11"/>
      <c r="D371" s="11"/>
    </row>
    <row r="372">
      <c r="B372" s="11"/>
      <c r="C372" s="11"/>
      <c r="D372" s="11"/>
    </row>
    <row r="373">
      <c r="B373" s="11"/>
      <c r="C373" s="11"/>
      <c r="D373" s="11"/>
    </row>
    <row r="374">
      <c r="B374" s="11"/>
      <c r="C374" s="11"/>
      <c r="D374" s="11"/>
    </row>
    <row r="375">
      <c r="B375" s="11"/>
      <c r="C375" s="11"/>
      <c r="D375" s="11"/>
    </row>
    <row r="376">
      <c r="B376" s="11"/>
      <c r="C376" s="11"/>
      <c r="D376" s="11"/>
    </row>
    <row r="377">
      <c r="B377" s="11"/>
      <c r="C377" s="11"/>
      <c r="D377" s="11"/>
    </row>
    <row r="378">
      <c r="B378" s="11"/>
      <c r="C378" s="11"/>
      <c r="D378" s="11"/>
    </row>
    <row r="379">
      <c r="B379" s="11"/>
      <c r="C379" s="11"/>
      <c r="D379" s="11"/>
    </row>
    <row r="380">
      <c r="B380" s="11"/>
      <c r="C380" s="11"/>
      <c r="D380" s="11"/>
    </row>
    <row r="381">
      <c r="B381" s="11"/>
      <c r="C381" s="11"/>
      <c r="D381" s="11"/>
    </row>
    <row r="382">
      <c r="B382" s="11"/>
      <c r="C382" s="11"/>
      <c r="D382" s="11"/>
    </row>
    <row r="383">
      <c r="B383" s="11"/>
      <c r="C383" s="11"/>
      <c r="D383" s="11"/>
    </row>
    <row r="384">
      <c r="B384" s="11"/>
      <c r="C384" s="11"/>
      <c r="D384" s="11"/>
    </row>
    <row r="385">
      <c r="B385" s="11"/>
      <c r="C385" s="11"/>
      <c r="D385" s="11"/>
    </row>
    <row r="386">
      <c r="B386" s="11"/>
      <c r="C386" s="11"/>
      <c r="D386" s="11"/>
    </row>
    <row r="387">
      <c r="B387" s="11"/>
      <c r="C387" s="11"/>
      <c r="D387" s="11"/>
    </row>
    <row r="388">
      <c r="B388" s="11"/>
      <c r="C388" s="11"/>
      <c r="D388" s="11"/>
    </row>
    <row r="389">
      <c r="B389" s="11"/>
      <c r="C389" s="11"/>
      <c r="D389" s="11"/>
    </row>
    <row r="390">
      <c r="B390" s="11"/>
      <c r="C390" s="11"/>
      <c r="D390" s="11"/>
    </row>
    <row r="391">
      <c r="B391" s="11"/>
      <c r="C391" s="11"/>
      <c r="D391" s="11"/>
    </row>
    <row r="392">
      <c r="B392" s="11"/>
      <c r="C392" s="11"/>
      <c r="D392" s="11"/>
    </row>
    <row r="393">
      <c r="B393" s="11"/>
      <c r="C393" s="11"/>
      <c r="D393" s="11"/>
    </row>
    <row r="394">
      <c r="B394" s="11"/>
      <c r="C394" s="11"/>
      <c r="D394" s="11"/>
    </row>
    <row r="395">
      <c r="B395" s="11"/>
      <c r="C395" s="11"/>
      <c r="D395" s="11"/>
    </row>
    <row r="396">
      <c r="B396" s="11"/>
      <c r="C396" s="11"/>
      <c r="D396" s="11"/>
    </row>
    <row r="397">
      <c r="B397" s="11"/>
      <c r="C397" s="11"/>
      <c r="D397" s="11"/>
    </row>
    <row r="398">
      <c r="B398" s="11"/>
      <c r="C398" s="11"/>
      <c r="D398" s="11"/>
    </row>
    <row r="399">
      <c r="B399" s="11"/>
      <c r="C399" s="11"/>
      <c r="D399" s="11"/>
    </row>
    <row r="400">
      <c r="B400" s="11"/>
      <c r="C400" s="11"/>
      <c r="D400" s="11"/>
    </row>
    <row r="401">
      <c r="B401" s="11"/>
      <c r="C401" s="11"/>
      <c r="D401" s="11"/>
    </row>
    <row r="402">
      <c r="B402" s="11"/>
      <c r="C402" s="11"/>
      <c r="D402" s="11"/>
    </row>
    <row r="403">
      <c r="B403" s="11"/>
      <c r="C403" s="11"/>
      <c r="D403" s="11"/>
    </row>
    <row r="404">
      <c r="B404" s="11"/>
      <c r="C404" s="11"/>
      <c r="D404" s="11"/>
    </row>
    <row r="405">
      <c r="B405" s="11"/>
      <c r="C405" s="11"/>
      <c r="D405" s="11"/>
    </row>
    <row r="406">
      <c r="B406" s="11"/>
      <c r="C406" s="11"/>
      <c r="D406" s="11"/>
    </row>
    <row r="407">
      <c r="B407" s="11"/>
      <c r="C407" s="11"/>
      <c r="D407" s="11"/>
    </row>
    <row r="408">
      <c r="B408" s="11"/>
      <c r="C408" s="11"/>
      <c r="D408" s="11"/>
    </row>
    <row r="409">
      <c r="B409" s="11"/>
      <c r="C409" s="11"/>
      <c r="D409" s="11"/>
    </row>
    <row r="410">
      <c r="B410" s="11"/>
      <c r="C410" s="11"/>
      <c r="D410" s="11"/>
    </row>
    <row r="411">
      <c r="B411" s="11"/>
      <c r="C411" s="11"/>
      <c r="D411" s="11"/>
    </row>
    <row r="412">
      <c r="B412" s="11"/>
      <c r="C412" s="11"/>
      <c r="D412" s="11"/>
    </row>
    <row r="413">
      <c r="B413" s="11"/>
      <c r="C413" s="11"/>
      <c r="D413" s="11"/>
    </row>
    <row r="414">
      <c r="B414" s="11"/>
      <c r="C414" s="11"/>
      <c r="D414" s="11"/>
    </row>
    <row r="415">
      <c r="B415" s="11"/>
      <c r="C415" s="11"/>
      <c r="D415" s="11"/>
    </row>
    <row r="416">
      <c r="B416" s="11"/>
      <c r="C416" s="11"/>
      <c r="D416" s="11"/>
    </row>
    <row r="417">
      <c r="B417" s="11"/>
      <c r="C417" s="11"/>
      <c r="D417" s="11"/>
    </row>
    <row r="418">
      <c r="B418" s="11"/>
      <c r="C418" s="11"/>
      <c r="D418" s="11"/>
    </row>
    <row r="419">
      <c r="B419" s="11"/>
      <c r="C419" s="11"/>
      <c r="D419" s="11"/>
    </row>
    <row r="420">
      <c r="B420" s="11"/>
      <c r="C420" s="11"/>
      <c r="D420" s="11"/>
    </row>
    <row r="421">
      <c r="B421" s="11"/>
      <c r="C421" s="11"/>
      <c r="D421" s="11"/>
    </row>
    <row r="422">
      <c r="B422" s="11"/>
      <c r="C422" s="11"/>
      <c r="D422" s="11"/>
    </row>
    <row r="423">
      <c r="B423" s="11"/>
      <c r="C423" s="11"/>
      <c r="D423" s="11"/>
    </row>
    <row r="424">
      <c r="B424" s="11"/>
      <c r="C424" s="11"/>
      <c r="D424" s="11"/>
    </row>
    <row r="425">
      <c r="B425" s="11"/>
      <c r="C425" s="11"/>
      <c r="D425" s="11"/>
    </row>
    <row r="426">
      <c r="B426" s="11"/>
      <c r="C426" s="11"/>
      <c r="D426" s="11"/>
    </row>
    <row r="427">
      <c r="B427" s="11"/>
      <c r="C427" s="11"/>
      <c r="D427" s="11"/>
    </row>
    <row r="428">
      <c r="B428" s="11"/>
      <c r="C428" s="11"/>
      <c r="D428" s="11"/>
    </row>
    <row r="429">
      <c r="B429" s="11"/>
      <c r="C429" s="11"/>
      <c r="D429" s="11"/>
    </row>
    <row r="430">
      <c r="B430" s="11"/>
      <c r="C430" s="11"/>
      <c r="D430" s="11"/>
    </row>
    <row r="431">
      <c r="B431" s="11"/>
      <c r="C431" s="11"/>
      <c r="D431" s="11"/>
    </row>
    <row r="432">
      <c r="B432" s="11"/>
      <c r="C432" s="11"/>
      <c r="D432" s="11"/>
    </row>
    <row r="433">
      <c r="B433" s="11"/>
      <c r="C433" s="11"/>
      <c r="D433" s="11"/>
    </row>
    <row r="434">
      <c r="B434" s="11"/>
      <c r="C434" s="11"/>
      <c r="D434" s="11"/>
    </row>
    <row r="435">
      <c r="B435" s="11"/>
      <c r="C435" s="11"/>
      <c r="D435" s="11"/>
    </row>
    <row r="436">
      <c r="B436" s="11"/>
      <c r="C436" s="11"/>
      <c r="D436" s="11"/>
    </row>
    <row r="437">
      <c r="B437" s="11"/>
      <c r="C437" s="11"/>
      <c r="D437" s="11"/>
    </row>
    <row r="438">
      <c r="B438" s="11"/>
      <c r="C438" s="11"/>
      <c r="D438" s="11"/>
    </row>
    <row r="439">
      <c r="B439" s="11"/>
      <c r="C439" s="11"/>
      <c r="D439" s="11"/>
    </row>
    <row r="440">
      <c r="B440" s="11"/>
      <c r="C440" s="11"/>
      <c r="D440" s="11"/>
    </row>
    <row r="441">
      <c r="B441" s="11"/>
      <c r="C441" s="11"/>
      <c r="D441" s="11"/>
    </row>
    <row r="442">
      <c r="B442" s="11"/>
      <c r="C442" s="11"/>
      <c r="D442" s="11"/>
    </row>
    <row r="443">
      <c r="B443" s="11"/>
      <c r="C443" s="11"/>
      <c r="D443" s="11"/>
    </row>
    <row r="444">
      <c r="B444" s="11"/>
      <c r="C444" s="11"/>
      <c r="D444" s="11"/>
    </row>
    <row r="445">
      <c r="B445" s="11"/>
      <c r="C445" s="11"/>
      <c r="D445" s="11"/>
    </row>
    <row r="446">
      <c r="B446" s="11"/>
      <c r="C446" s="11"/>
      <c r="D446" s="11"/>
    </row>
    <row r="447">
      <c r="B447" s="11"/>
      <c r="C447" s="11"/>
      <c r="D447" s="11"/>
    </row>
    <row r="448">
      <c r="B448" s="11"/>
      <c r="C448" s="11"/>
      <c r="D448" s="11"/>
    </row>
    <row r="449">
      <c r="B449" s="11"/>
      <c r="C449" s="11"/>
      <c r="D449" s="11"/>
    </row>
    <row r="450">
      <c r="B450" s="11"/>
      <c r="C450" s="11"/>
      <c r="D450" s="11"/>
    </row>
    <row r="451">
      <c r="B451" s="11"/>
      <c r="C451" s="11"/>
      <c r="D451" s="11"/>
    </row>
    <row r="452">
      <c r="B452" s="11"/>
      <c r="C452" s="11"/>
      <c r="D452" s="11"/>
    </row>
    <row r="453">
      <c r="B453" s="11"/>
      <c r="C453" s="11"/>
      <c r="D453" s="11"/>
    </row>
    <row r="454">
      <c r="B454" s="11"/>
      <c r="C454" s="11"/>
      <c r="D454" s="11"/>
    </row>
    <row r="455">
      <c r="B455" s="11"/>
      <c r="C455" s="11"/>
      <c r="D455" s="11"/>
    </row>
    <row r="456">
      <c r="B456" s="11"/>
      <c r="C456" s="11"/>
      <c r="D456" s="11"/>
    </row>
    <row r="457">
      <c r="B457" s="11"/>
      <c r="C457" s="11"/>
      <c r="D457" s="11"/>
    </row>
    <row r="458">
      <c r="B458" s="11"/>
      <c r="C458" s="11"/>
      <c r="D458" s="11"/>
    </row>
    <row r="459">
      <c r="B459" s="11"/>
      <c r="C459" s="11"/>
      <c r="D459" s="11"/>
    </row>
    <row r="460">
      <c r="B460" s="11"/>
      <c r="C460" s="11"/>
      <c r="D460" s="11"/>
    </row>
    <row r="461">
      <c r="B461" s="11"/>
      <c r="C461" s="11"/>
      <c r="D461" s="11"/>
    </row>
    <row r="462">
      <c r="B462" s="11"/>
      <c r="C462" s="11"/>
      <c r="D462" s="11"/>
    </row>
    <row r="463">
      <c r="B463" s="11"/>
      <c r="C463" s="11"/>
      <c r="D463" s="11"/>
    </row>
    <row r="464">
      <c r="B464" s="11"/>
      <c r="C464" s="11"/>
      <c r="D464" s="11"/>
    </row>
    <row r="465">
      <c r="B465" s="11"/>
      <c r="C465" s="11"/>
      <c r="D465" s="11"/>
    </row>
    <row r="466">
      <c r="B466" s="11"/>
      <c r="C466" s="11"/>
      <c r="D466" s="11"/>
    </row>
    <row r="467">
      <c r="B467" s="11"/>
      <c r="C467" s="11"/>
      <c r="D467" s="11"/>
    </row>
    <row r="468">
      <c r="B468" s="11"/>
      <c r="C468" s="11"/>
      <c r="D468" s="11"/>
    </row>
    <row r="469">
      <c r="B469" s="11"/>
      <c r="C469" s="11"/>
      <c r="D469" s="11"/>
    </row>
    <row r="470">
      <c r="B470" s="11"/>
      <c r="C470" s="11"/>
      <c r="D470" s="11"/>
    </row>
    <row r="471">
      <c r="B471" s="11"/>
      <c r="C471" s="11"/>
      <c r="D471" s="11"/>
    </row>
    <row r="472">
      <c r="B472" s="11"/>
      <c r="C472" s="11"/>
      <c r="D472" s="11"/>
    </row>
    <row r="473">
      <c r="B473" s="11"/>
      <c r="C473" s="11"/>
      <c r="D473" s="11"/>
    </row>
    <row r="474">
      <c r="B474" s="11"/>
      <c r="C474" s="11"/>
      <c r="D474" s="11"/>
    </row>
    <row r="475">
      <c r="B475" s="11"/>
      <c r="C475" s="11"/>
      <c r="D475" s="11"/>
    </row>
    <row r="476">
      <c r="B476" s="11"/>
      <c r="C476" s="11"/>
      <c r="D476" s="11"/>
    </row>
    <row r="477">
      <c r="B477" s="11"/>
      <c r="C477" s="11"/>
      <c r="D477" s="11"/>
    </row>
    <row r="478">
      <c r="B478" s="11"/>
      <c r="C478" s="11"/>
      <c r="D478" s="11"/>
    </row>
    <row r="479">
      <c r="B479" s="11"/>
      <c r="C479" s="11"/>
      <c r="D479" s="11"/>
    </row>
    <row r="480">
      <c r="B480" s="11"/>
      <c r="C480" s="11"/>
      <c r="D480" s="11"/>
    </row>
    <row r="481">
      <c r="B481" s="11"/>
      <c r="C481" s="11"/>
      <c r="D481" s="11"/>
    </row>
    <row r="482">
      <c r="B482" s="11"/>
      <c r="C482" s="11"/>
      <c r="D482" s="11"/>
    </row>
    <row r="483">
      <c r="B483" s="11"/>
      <c r="C483" s="11"/>
      <c r="D483" s="11"/>
    </row>
    <row r="484">
      <c r="B484" s="11"/>
      <c r="C484" s="11"/>
      <c r="D484" s="11"/>
    </row>
    <row r="485">
      <c r="B485" s="11"/>
      <c r="C485" s="11"/>
      <c r="D485" s="11"/>
    </row>
    <row r="486">
      <c r="B486" s="11"/>
      <c r="C486" s="11"/>
      <c r="D486" s="11"/>
    </row>
    <row r="487">
      <c r="B487" s="11"/>
      <c r="C487" s="11"/>
      <c r="D487" s="11"/>
    </row>
    <row r="488">
      <c r="B488" s="11"/>
      <c r="C488" s="11"/>
      <c r="D488" s="11"/>
    </row>
    <row r="489">
      <c r="B489" s="11"/>
      <c r="C489" s="11"/>
      <c r="D489" s="11"/>
    </row>
    <row r="490">
      <c r="B490" s="11"/>
      <c r="C490" s="11"/>
      <c r="D490" s="11"/>
    </row>
    <row r="491">
      <c r="B491" s="11"/>
      <c r="C491" s="11"/>
      <c r="D491" s="11"/>
    </row>
    <row r="492">
      <c r="B492" s="11"/>
      <c r="C492" s="11"/>
      <c r="D492" s="11"/>
    </row>
    <row r="493">
      <c r="B493" s="11"/>
      <c r="C493" s="11"/>
      <c r="D493" s="11"/>
    </row>
    <row r="494">
      <c r="B494" s="11"/>
      <c r="C494" s="11"/>
      <c r="D494" s="11"/>
    </row>
    <row r="495">
      <c r="B495" s="11"/>
      <c r="C495" s="11"/>
      <c r="D495" s="11"/>
    </row>
    <row r="496">
      <c r="B496" s="11"/>
      <c r="C496" s="11"/>
      <c r="D496" s="11"/>
    </row>
    <row r="497">
      <c r="B497" s="11"/>
      <c r="C497" s="11"/>
      <c r="D497" s="11"/>
    </row>
    <row r="498">
      <c r="B498" s="11"/>
      <c r="C498" s="11"/>
      <c r="D498" s="11"/>
    </row>
    <row r="499">
      <c r="B499" s="11"/>
      <c r="C499" s="11"/>
      <c r="D499" s="11"/>
    </row>
    <row r="500">
      <c r="B500" s="11"/>
      <c r="C500" s="11"/>
      <c r="D500" s="11"/>
    </row>
    <row r="501">
      <c r="B501" s="11"/>
      <c r="C501" s="11"/>
      <c r="D501" s="11"/>
    </row>
    <row r="502">
      <c r="B502" s="11"/>
      <c r="C502" s="11"/>
      <c r="D502" s="11"/>
    </row>
    <row r="503">
      <c r="B503" s="11"/>
      <c r="C503" s="11"/>
      <c r="D503" s="11"/>
    </row>
    <row r="504">
      <c r="B504" s="11"/>
      <c r="C504" s="11"/>
      <c r="D504" s="11"/>
    </row>
    <row r="505">
      <c r="B505" s="11"/>
      <c r="C505" s="11"/>
      <c r="D505" s="11"/>
    </row>
    <row r="506">
      <c r="B506" s="11"/>
      <c r="C506" s="11"/>
      <c r="D506" s="11"/>
    </row>
    <row r="507">
      <c r="B507" s="11"/>
      <c r="C507" s="11"/>
      <c r="D507" s="11"/>
    </row>
    <row r="508">
      <c r="B508" s="11"/>
      <c r="C508" s="11"/>
      <c r="D508" s="11"/>
    </row>
    <row r="509">
      <c r="B509" s="11"/>
      <c r="C509" s="11"/>
      <c r="D509" s="11"/>
    </row>
    <row r="510">
      <c r="B510" s="11"/>
      <c r="C510" s="11"/>
      <c r="D510" s="11"/>
    </row>
    <row r="511">
      <c r="B511" s="11"/>
      <c r="C511" s="11"/>
      <c r="D511" s="11"/>
    </row>
    <row r="512">
      <c r="B512" s="11"/>
      <c r="C512" s="11"/>
      <c r="D512" s="11"/>
    </row>
    <row r="513">
      <c r="B513" s="11"/>
      <c r="C513" s="11"/>
      <c r="D513" s="11"/>
    </row>
    <row r="514">
      <c r="B514" s="11"/>
      <c r="C514" s="11"/>
      <c r="D514" s="11"/>
    </row>
    <row r="515">
      <c r="B515" s="11"/>
      <c r="C515" s="11"/>
      <c r="D515" s="11"/>
    </row>
    <row r="516">
      <c r="B516" s="11"/>
      <c r="C516" s="11"/>
      <c r="D516" s="11"/>
    </row>
    <row r="517">
      <c r="B517" s="11"/>
      <c r="C517" s="11"/>
      <c r="D517" s="11"/>
    </row>
    <row r="518">
      <c r="B518" s="11"/>
      <c r="C518" s="11"/>
      <c r="D518" s="11"/>
    </row>
    <row r="519">
      <c r="B519" s="11"/>
      <c r="C519" s="11"/>
      <c r="D519" s="11"/>
    </row>
    <row r="520">
      <c r="B520" s="11"/>
      <c r="C520" s="11"/>
      <c r="D520" s="11"/>
    </row>
    <row r="521">
      <c r="B521" s="11"/>
      <c r="C521" s="11"/>
      <c r="D521" s="11"/>
    </row>
    <row r="522">
      <c r="B522" s="11"/>
      <c r="C522" s="11"/>
      <c r="D522" s="11"/>
    </row>
    <row r="523">
      <c r="B523" s="11"/>
      <c r="C523" s="11"/>
      <c r="D523" s="11"/>
    </row>
    <row r="524">
      <c r="B524" s="11"/>
      <c r="C524" s="11"/>
      <c r="D524" s="11"/>
    </row>
    <row r="525">
      <c r="B525" s="11"/>
      <c r="C525" s="11"/>
      <c r="D525" s="11"/>
    </row>
    <row r="526">
      <c r="B526" s="11"/>
      <c r="C526" s="11"/>
      <c r="D526" s="11"/>
    </row>
    <row r="527">
      <c r="B527" s="11"/>
      <c r="C527" s="11"/>
      <c r="D527" s="11"/>
    </row>
    <row r="528">
      <c r="B528" s="11"/>
      <c r="C528" s="11"/>
      <c r="D528" s="11"/>
    </row>
    <row r="529">
      <c r="B529" s="11"/>
      <c r="C529" s="11"/>
      <c r="D529" s="11"/>
    </row>
    <row r="530">
      <c r="B530" s="11"/>
      <c r="C530" s="11"/>
      <c r="D530" s="11"/>
    </row>
    <row r="531">
      <c r="B531" s="11"/>
      <c r="C531" s="11"/>
      <c r="D531" s="11"/>
    </row>
    <row r="532">
      <c r="B532" s="11"/>
      <c r="C532" s="11"/>
      <c r="D532" s="11"/>
    </row>
    <row r="533">
      <c r="B533" s="11"/>
      <c r="C533" s="11"/>
      <c r="D533" s="11"/>
    </row>
    <row r="534">
      <c r="B534" s="11"/>
      <c r="C534" s="11"/>
      <c r="D534" s="11"/>
    </row>
    <row r="535">
      <c r="B535" s="11"/>
      <c r="C535" s="11"/>
      <c r="D535" s="11"/>
    </row>
    <row r="536">
      <c r="B536" s="11"/>
      <c r="C536" s="11"/>
      <c r="D536" s="11"/>
    </row>
    <row r="537">
      <c r="B537" s="11"/>
      <c r="C537" s="11"/>
      <c r="D537" s="11"/>
    </row>
    <row r="538">
      <c r="B538" s="11"/>
      <c r="C538" s="11"/>
      <c r="D538" s="11"/>
    </row>
    <row r="539">
      <c r="B539" s="11"/>
      <c r="C539" s="11"/>
      <c r="D539" s="11"/>
    </row>
    <row r="540">
      <c r="B540" s="11"/>
      <c r="C540" s="11"/>
      <c r="D540" s="11"/>
    </row>
    <row r="541">
      <c r="B541" s="11"/>
      <c r="C541" s="11"/>
      <c r="D541" s="11"/>
    </row>
    <row r="542">
      <c r="B542" s="11"/>
      <c r="C542" s="11"/>
      <c r="D542" s="11"/>
    </row>
    <row r="543">
      <c r="B543" s="11"/>
      <c r="C543" s="11"/>
      <c r="D543" s="11"/>
    </row>
    <row r="544">
      <c r="B544" s="11"/>
      <c r="C544" s="11"/>
      <c r="D544" s="11"/>
    </row>
    <row r="545">
      <c r="B545" s="11"/>
      <c r="C545" s="11"/>
      <c r="D545" s="11"/>
    </row>
    <row r="546">
      <c r="B546" s="11"/>
      <c r="C546" s="11"/>
      <c r="D546" s="11"/>
    </row>
    <row r="547">
      <c r="B547" s="11"/>
      <c r="C547" s="11"/>
      <c r="D547" s="11"/>
    </row>
    <row r="548">
      <c r="B548" s="11"/>
      <c r="C548" s="11"/>
      <c r="D548" s="11"/>
    </row>
    <row r="549">
      <c r="B549" s="11"/>
      <c r="C549" s="11"/>
      <c r="D549" s="11"/>
    </row>
    <row r="550">
      <c r="B550" s="11"/>
      <c r="C550" s="11"/>
      <c r="D550" s="11"/>
    </row>
    <row r="551">
      <c r="B551" s="11"/>
      <c r="C551" s="11"/>
      <c r="D551" s="11"/>
    </row>
    <row r="552">
      <c r="B552" s="11"/>
      <c r="C552" s="11"/>
      <c r="D552" s="11"/>
    </row>
    <row r="553">
      <c r="B553" s="11"/>
      <c r="C553" s="11"/>
      <c r="D553" s="11"/>
    </row>
    <row r="554">
      <c r="B554" s="11"/>
      <c r="C554" s="11"/>
      <c r="D554" s="11"/>
    </row>
    <row r="555">
      <c r="B555" s="11"/>
      <c r="C555" s="11"/>
      <c r="D555" s="11"/>
    </row>
    <row r="556">
      <c r="B556" s="11"/>
      <c r="C556" s="11"/>
      <c r="D556" s="11"/>
    </row>
    <row r="557">
      <c r="B557" s="11"/>
      <c r="C557" s="11"/>
      <c r="D557" s="11"/>
    </row>
    <row r="558">
      <c r="B558" s="11"/>
      <c r="C558" s="11"/>
      <c r="D558" s="11"/>
    </row>
    <row r="559">
      <c r="B559" s="11"/>
      <c r="C559" s="11"/>
      <c r="D559" s="11"/>
    </row>
    <row r="560">
      <c r="B560" s="11"/>
      <c r="C560" s="11"/>
      <c r="D560" s="11"/>
    </row>
    <row r="561">
      <c r="B561" s="11"/>
      <c r="C561" s="11"/>
      <c r="D561" s="11"/>
    </row>
    <row r="562">
      <c r="B562" s="11"/>
      <c r="C562" s="11"/>
      <c r="D562" s="11"/>
    </row>
    <row r="563">
      <c r="B563" s="11"/>
      <c r="C563" s="11"/>
      <c r="D563" s="11"/>
    </row>
    <row r="564">
      <c r="B564" s="11"/>
      <c r="C564" s="11"/>
      <c r="D564" s="11"/>
    </row>
    <row r="565">
      <c r="B565" s="11"/>
      <c r="C565" s="11"/>
      <c r="D565" s="11"/>
    </row>
    <row r="566">
      <c r="B566" s="11"/>
      <c r="C566" s="11"/>
      <c r="D566" s="11"/>
    </row>
    <row r="567">
      <c r="B567" s="11"/>
      <c r="C567" s="11"/>
      <c r="D567" s="11"/>
    </row>
    <row r="568">
      <c r="B568" s="11"/>
      <c r="C568" s="11"/>
      <c r="D568" s="11"/>
    </row>
    <row r="569">
      <c r="B569" s="11"/>
      <c r="C569" s="11"/>
      <c r="D569" s="11"/>
    </row>
    <row r="570">
      <c r="B570" s="11"/>
      <c r="C570" s="11"/>
      <c r="D570" s="11"/>
    </row>
    <row r="571">
      <c r="B571" s="11"/>
      <c r="C571" s="11"/>
      <c r="D571" s="11"/>
    </row>
    <row r="572">
      <c r="B572" s="11"/>
      <c r="C572" s="11"/>
      <c r="D572" s="11"/>
    </row>
    <row r="573">
      <c r="B573" s="11"/>
      <c r="C573" s="11"/>
      <c r="D573" s="11"/>
    </row>
    <row r="574">
      <c r="B574" s="11"/>
      <c r="C574" s="11"/>
      <c r="D574" s="11"/>
    </row>
    <row r="575">
      <c r="B575" s="11"/>
      <c r="C575" s="11"/>
      <c r="D575" s="11"/>
    </row>
    <row r="576">
      <c r="B576" s="11"/>
      <c r="C576" s="11"/>
      <c r="D576" s="11"/>
    </row>
    <row r="577">
      <c r="B577" s="11"/>
      <c r="C577" s="11"/>
      <c r="D577" s="11"/>
    </row>
    <row r="578">
      <c r="B578" s="11"/>
      <c r="C578" s="11"/>
      <c r="D578" s="11"/>
    </row>
    <row r="579">
      <c r="B579" s="11"/>
      <c r="C579" s="11"/>
      <c r="D579" s="11"/>
    </row>
    <row r="580">
      <c r="B580" s="11"/>
      <c r="C580" s="11"/>
      <c r="D580" s="11"/>
    </row>
    <row r="581">
      <c r="B581" s="11"/>
      <c r="C581" s="11"/>
      <c r="D581" s="11"/>
    </row>
    <row r="582">
      <c r="B582" s="11"/>
      <c r="C582" s="11"/>
      <c r="D582" s="11"/>
    </row>
    <row r="583">
      <c r="B583" s="11"/>
      <c r="C583" s="11"/>
      <c r="D583" s="11"/>
    </row>
    <row r="584">
      <c r="B584" s="11"/>
      <c r="C584" s="11"/>
      <c r="D584" s="11"/>
    </row>
    <row r="585">
      <c r="B585" s="11"/>
      <c r="C585" s="11"/>
      <c r="D585" s="11"/>
    </row>
    <row r="586">
      <c r="B586" s="11"/>
      <c r="C586" s="11"/>
      <c r="D586" s="11"/>
    </row>
    <row r="587">
      <c r="B587" s="11"/>
      <c r="C587" s="11"/>
      <c r="D587" s="11"/>
    </row>
    <row r="588">
      <c r="B588" s="11"/>
      <c r="C588" s="11"/>
      <c r="D588" s="11"/>
    </row>
    <row r="589">
      <c r="B589" s="11"/>
      <c r="C589" s="11"/>
      <c r="D589" s="11"/>
    </row>
    <row r="590">
      <c r="B590" s="11"/>
      <c r="C590" s="11"/>
      <c r="D590" s="11"/>
    </row>
    <row r="591">
      <c r="B591" s="11"/>
      <c r="C591" s="11"/>
      <c r="D591" s="11"/>
    </row>
    <row r="592">
      <c r="B592" s="11"/>
      <c r="C592" s="11"/>
      <c r="D592" s="11"/>
    </row>
    <row r="593">
      <c r="B593" s="11"/>
      <c r="C593" s="11"/>
      <c r="D593" s="11"/>
    </row>
    <row r="594">
      <c r="B594" s="11"/>
      <c r="C594" s="11"/>
      <c r="D594" s="11"/>
    </row>
    <row r="595">
      <c r="B595" s="11"/>
      <c r="C595" s="11"/>
      <c r="D595" s="11"/>
    </row>
    <row r="596">
      <c r="B596" s="11"/>
      <c r="C596" s="11"/>
      <c r="D596" s="11"/>
    </row>
    <row r="597">
      <c r="B597" s="11"/>
      <c r="C597" s="11"/>
      <c r="D597" s="11"/>
    </row>
    <row r="598">
      <c r="B598" s="11"/>
      <c r="C598" s="11"/>
      <c r="D598" s="11"/>
    </row>
    <row r="599">
      <c r="B599" s="11"/>
      <c r="C599" s="11"/>
      <c r="D599" s="11"/>
    </row>
    <row r="600">
      <c r="B600" s="11"/>
      <c r="C600" s="11"/>
      <c r="D600" s="11"/>
    </row>
    <row r="601">
      <c r="B601" s="11"/>
      <c r="C601" s="11"/>
      <c r="D601" s="11"/>
    </row>
    <row r="602">
      <c r="B602" s="11"/>
      <c r="C602" s="11"/>
      <c r="D602" s="11"/>
    </row>
    <row r="603">
      <c r="B603" s="11"/>
      <c r="C603" s="11"/>
      <c r="D603" s="11"/>
    </row>
    <row r="604">
      <c r="B604" s="11"/>
      <c r="C604" s="11"/>
      <c r="D604" s="11"/>
    </row>
    <row r="605">
      <c r="B605" s="11"/>
      <c r="C605" s="11"/>
      <c r="D605" s="11"/>
    </row>
    <row r="606">
      <c r="B606" s="11"/>
      <c r="C606" s="11"/>
      <c r="D606" s="11"/>
    </row>
    <row r="607">
      <c r="B607" s="11"/>
      <c r="C607" s="11"/>
      <c r="D607" s="11"/>
    </row>
    <row r="608">
      <c r="B608" s="11"/>
      <c r="C608" s="11"/>
      <c r="D608" s="11"/>
    </row>
    <row r="609">
      <c r="B609" s="11"/>
      <c r="C609" s="11"/>
      <c r="D609" s="11"/>
    </row>
    <row r="610">
      <c r="B610" s="11"/>
      <c r="C610" s="11"/>
      <c r="D610" s="11"/>
    </row>
    <row r="611">
      <c r="B611" s="11"/>
      <c r="C611" s="11"/>
      <c r="D611" s="11"/>
    </row>
    <row r="612">
      <c r="B612" s="11"/>
      <c r="C612" s="11"/>
      <c r="D612" s="11"/>
    </row>
    <row r="613">
      <c r="B613" s="11"/>
      <c r="C613" s="11"/>
      <c r="D613" s="11"/>
    </row>
    <row r="614">
      <c r="B614" s="11"/>
      <c r="C614" s="11"/>
      <c r="D614" s="11"/>
    </row>
    <row r="615">
      <c r="B615" s="11"/>
      <c r="C615" s="11"/>
      <c r="D615" s="11"/>
    </row>
    <row r="616">
      <c r="B616" s="11"/>
      <c r="C616" s="11"/>
      <c r="D616" s="11"/>
    </row>
    <row r="617">
      <c r="B617" s="11"/>
      <c r="C617" s="11"/>
      <c r="D617" s="11"/>
    </row>
    <row r="618">
      <c r="B618" s="11"/>
      <c r="C618" s="11"/>
      <c r="D618" s="11"/>
    </row>
    <row r="619">
      <c r="B619" s="11"/>
      <c r="C619" s="11"/>
      <c r="D619" s="11"/>
    </row>
    <row r="620">
      <c r="B620" s="11"/>
      <c r="C620" s="11"/>
      <c r="D620" s="11"/>
    </row>
    <row r="621">
      <c r="B621" s="11"/>
      <c r="C621" s="11"/>
      <c r="D621" s="11"/>
    </row>
    <row r="622">
      <c r="B622" s="11"/>
      <c r="C622" s="11"/>
      <c r="D622" s="11"/>
    </row>
    <row r="623">
      <c r="B623" s="11"/>
      <c r="C623" s="11"/>
      <c r="D623" s="11"/>
    </row>
    <row r="624">
      <c r="B624" s="11"/>
      <c r="C624" s="11"/>
      <c r="D624" s="11"/>
    </row>
    <row r="625">
      <c r="B625" s="11"/>
      <c r="C625" s="11"/>
      <c r="D625" s="11"/>
    </row>
    <row r="626">
      <c r="B626" s="11"/>
      <c r="C626" s="11"/>
      <c r="D626" s="11"/>
    </row>
    <row r="627">
      <c r="B627" s="11"/>
      <c r="C627" s="11"/>
      <c r="D627" s="11"/>
    </row>
    <row r="628">
      <c r="B628" s="11"/>
      <c r="C628" s="11"/>
      <c r="D628" s="11"/>
    </row>
    <row r="629">
      <c r="B629" s="11"/>
      <c r="C629" s="11"/>
      <c r="D629" s="11"/>
    </row>
    <row r="630">
      <c r="B630" s="11"/>
      <c r="C630" s="11"/>
      <c r="D630" s="11"/>
    </row>
    <row r="631">
      <c r="B631" s="11"/>
      <c r="C631" s="11"/>
      <c r="D631" s="11"/>
    </row>
    <row r="632">
      <c r="B632" s="11"/>
      <c r="C632" s="11"/>
      <c r="D632" s="11"/>
    </row>
    <row r="633">
      <c r="B633" s="11"/>
      <c r="C633" s="11"/>
      <c r="D633" s="11"/>
    </row>
    <row r="634">
      <c r="B634" s="11"/>
      <c r="C634" s="11"/>
      <c r="D634" s="11"/>
    </row>
    <row r="635">
      <c r="B635" s="11"/>
      <c r="C635" s="11"/>
      <c r="D635" s="11"/>
    </row>
    <row r="636">
      <c r="B636" s="11"/>
      <c r="C636" s="11"/>
      <c r="D636" s="11"/>
    </row>
    <row r="637">
      <c r="B637" s="11"/>
      <c r="C637" s="11"/>
      <c r="D637" s="11"/>
    </row>
    <row r="638">
      <c r="B638" s="11"/>
      <c r="C638" s="11"/>
      <c r="D638" s="11"/>
    </row>
    <row r="639">
      <c r="B639" s="11"/>
      <c r="C639" s="11"/>
      <c r="D639" s="11"/>
    </row>
    <row r="640">
      <c r="B640" s="11"/>
      <c r="C640" s="11"/>
      <c r="D640" s="11"/>
    </row>
    <row r="641">
      <c r="B641" s="11"/>
      <c r="C641" s="11"/>
      <c r="D641" s="11"/>
    </row>
    <row r="642">
      <c r="B642" s="11"/>
      <c r="C642" s="11"/>
      <c r="D642" s="11"/>
    </row>
    <row r="643">
      <c r="B643" s="11"/>
      <c r="C643" s="11"/>
      <c r="D643" s="11"/>
    </row>
    <row r="644">
      <c r="B644" s="11"/>
      <c r="C644" s="11"/>
      <c r="D644" s="11"/>
    </row>
    <row r="645">
      <c r="B645" s="11"/>
      <c r="C645" s="11"/>
      <c r="D645" s="11"/>
    </row>
    <row r="646">
      <c r="B646" s="11"/>
      <c r="C646" s="11"/>
      <c r="D646" s="11"/>
    </row>
    <row r="647">
      <c r="B647" s="11"/>
      <c r="C647" s="11"/>
      <c r="D647" s="11"/>
    </row>
    <row r="648">
      <c r="B648" s="11"/>
      <c r="C648" s="11"/>
      <c r="D648" s="11"/>
    </row>
    <row r="649">
      <c r="B649" s="11"/>
      <c r="C649" s="11"/>
      <c r="D649" s="11"/>
    </row>
    <row r="650">
      <c r="B650" s="11"/>
      <c r="C650" s="11"/>
      <c r="D650" s="11"/>
    </row>
    <row r="651">
      <c r="B651" s="11"/>
      <c r="C651" s="11"/>
      <c r="D651" s="11"/>
    </row>
    <row r="652">
      <c r="B652" s="11"/>
      <c r="C652" s="11"/>
      <c r="D652" s="11"/>
    </row>
    <row r="653">
      <c r="B653" s="11"/>
      <c r="C653" s="11"/>
      <c r="D653" s="11"/>
    </row>
    <row r="654">
      <c r="B654" s="11"/>
      <c r="C654" s="11"/>
      <c r="D654" s="11"/>
    </row>
    <row r="655">
      <c r="B655" s="11"/>
      <c r="C655" s="11"/>
      <c r="D655" s="11"/>
    </row>
    <row r="656">
      <c r="B656" s="11"/>
      <c r="C656" s="11"/>
      <c r="D656" s="11"/>
    </row>
    <row r="657">
      <c r="B657" s="11"/>
      <c r="C657" s="11"/>
      <c r="D657" s="11"/>
    </row>
    <row r="658">
      <c r="B658" s="11"/>
      <c r="C658" s="11"/>
      <c r="D658" s="11"/>
    </row>
    <row r="659">
      <c r="B659" s="11"/>
      <c r="C659" s="11"/>
      <c r="D659" s="11"/>
    </row>
    <row r="660">
      <c r="B660" s="11"/>
      <c r="C660" s="11"/>
      <c r="D660" s="11"/>
    </row>
    <row r="661">
      <c r="B661" s="11"/>
      <c r="C661" s="11"/>
      <c r="D661" s="11"/>
    </row>
    <row r="662">
      <c r="B662" s="11"/>
      <c r="C662" s="11"/>
      <c r="D662" s="11"/>
    </row>
    <row r="663">
      <c r="B663" s="11"/>
      <c r="C663" s="11"/>
      <c r="D663" s="11"/>
    </row>
    <row r="664">
      <c r="B664" s="11"/>
      <c r="C664" s="11"/>
      <c r="D664" s="11"/>
    </row>
    <row r="665">
      <c r="B665" s="11"/>
      <c r="C665" s="11"/>
      <c r="D665" s="11"/>
    </row>
    <row r="666">
      <c r="B666" s="11"/>
      <c r="C666" s="11"/>
      <c r="D666" s="11"/>
    </row>
    <row r="667">
      <c r="B667" s="11"/>
      <c r="C667" s="11"/>
      <c r="D667" s="11"/>
    </row>
    <row r="668">
      <c r="B668" s="11"/>
      <c r="C668" s="11"/>
      <c r="D668" s="11"/>
    </row>
    <row r="669">
      <c r="B669" s="11"/>
      <c r="C669" s="11"/>
      <c r="D669" s="11"/>
    </row>
    <row r="670">
      <c r="B670" s="11"/>
      <c r="C670" s="11"/>
      <c r="D670" s="11"/>
    </row>
    <row r="671">
      <c r="B671" s="11"/>
      <c r="C671" s="11"/>
      <c r="D671" s="11"/>
    </row>
    <row r="672">
      <c r="B672" s="11"/>
      <c r="C672" s="11"/>
      <c r="D672" s="11"/>
    </row>
    <row r="673">
      <c r="B673" s="11"/>
      <c r="C673" s="11"/>
      <c r="D673" s="11"/>
    </row>
    <row r="674">
      <c r="B674" s="11"/>
      <c r="C674" s="11"/>
      <c r="D674" s="11"/>
    </row>
    <row r="675">
      <c r="B675" s="11"/>
      <c r="C675" s="11"/>
      <c r="D675" s="11"/>
    </row>
    <row r="676">
      <c r="B676" s="11"/>
      <c r="C676" s="11"/>
      <c r="D676" s="11"/>
    </row>
    <row r="677">
      <c r="B677" s="11"/>
      <c r="C677" s="11"/>
      <c r="D677" s="11"/>
    </row>
    <row r="678">
      <c r="B678" s="11"/>
      <c r="C678" s="11"/>
      <c r="D678" s="11"/>
    </row>
    <row r="679">
      <c r="B679" s="11"/>
      <c r="C679" s="11"/>
      <c r="D679" s="11"/>
    </row>
    <row r="680">
      <c r="B680" s="11"/>
      <c r="C680" s="11"/>
      <c r="D680" s="11"/>
    </row>
    <row r="681">
      <c r="B681" s="11"/>
      <c r="C681" s="11"/>
      <c r="D681" s="11"/>
    </row>
    <row r="682">
      <c r="B682" s="11"/>
      <c r="C682" s="11"/>
      <c r="D682" s="11"/>
    </row>
    <row r="683">
      <c r="B683" s="11"/>
      <c r="C683" s="11"/>
      <c r="D683" s="11"/>
    </row>
    <row r="684">
      <c r="B684" s="11"/>
      <c r="C684" s="11"/>
      <c r="D684" s="11"/>
    </row>
    <row r="685">
      <c r="B685" s="11"/>
      <c r="C685" s="11"/>
      <c r="D685" s="11"/>
    </row>
    <row r="686">
      <c r="B686" s="11"/>
      <c r="C686" s="11"/>
      <c r="D686" s="11"/>
    </row>
    <row r="687">
      <c r="B687" s="11"/>
      <c r="C687" s="11"/>
      <c r="D687" s="11"/>
    </row>
    <row r="688">
      <c r="B688" s="11"/>
      <c r="C688" s="11"/>
      <c r="D688" s="11"/>
    </row>
    <row r="689">
      <c r="B689" s="11"/>
      <c r="C689" s="11"/>
      <c r="D689" s="11"/>
    </row>
    <row r="690">
      <c r="B690" s="11"/>
      <c r="C690" s="11"/>
      <c r="D690" s="11"/>
    </row>
    <row r="691">
      <c r="B691" s="11"/>
      <c r="C691" s="11"/>
      <c r="D691" s="11"/>
    </row>
    <row r="692">
      <c r="B692" s="11"/>
      <c r="C692" s="11"/>
      <c r="D692" s="11"/>
    </row>
    <row r="693">
      <c r="B693" s="11"/>
      <c r="C693" s="11"/>
      <c r="D693" s="11"/>
    </row>
    <row r="694">
      <c r="B694" s="11"/>
      <c r="C694" s="11"/>
      <c r="D694" s="11"/>
    </row>
    <row r="695">
      <c r="B695" s="11"/>
      <c r="C695" s="11"/>
      <c r="D695" s="11"/>
    </row>
    <row r="696">
      <c r="B696" s="11"/>
      <c r="C696" s="11"/>
      <c r="D696" s="11"/>
    </row>
    <row r="697">
      <c r="B697" s="11"/>
      <c r="C697" s="11"/>
      <c r="D697" s="11"/>
    </row>
    <row r="698">
      <c r="B698" s="11"/>
      <c r="C698" s="11"/>
      <c r="D698" s="11"/>
    </row>
    <row r="699">
      <c r="B699" s="11"/>
      <c r="C699" s="11"/>
      <c r="D699" s="11"/>
    </row>
    <row r="700">
      <c r="B700" s="11"/>
      <c r="C700" s="11"/>
      <c r="D700" s="11"/>
    </row>
    <row r="701">
      <c r="B701" s="11"/>
      <c r="C701" s="11"/>
      <c r="D701" s="11"/>
    </row>
    <row r="702">
      <c r="B702" s="11"/>
      <c r="C702" s="11"/>
      <c r="D702" s="11"/>
    </row>
    <row r="703">
      <c r="B703" s="11"/>
      <c r="C703" s="11"/>
      <c r="D703" s="11"/>
    </row>
    <row r="704">
      <c r="B704" s="11"/>
      <c r="C704" s="11"/>
      <c r="D704" s="11"/>
    </row>
    <row r="705">
      <c r="B705" s="11"/>
      <c r="C705" s="11"/>
      <c r="D705" s="11"/>
    </row>
    <row r="706">
      <c r="B706" s="11"/>
      <c r="C706" s="11"/>
      <c r="D706" s="11"/>
    </row>
    <row r="707">
      <c r="B707" s="11"/>
      <c r="C707" s="11"/>
      <c r="D707" s="11"/>
    </row>
    <row r="708">
      <c r="B708" s="11"/>
      <c r="C708" s="11"/>
      <c r="D708" s="11"/>
    </row>
    <row r="709">
      <c r="B709" s="11"/>
      <c r="C709" s="11"/>
      <c r="D709" s="11"/>
    </row>
    <row r="710">
      <c r="B710" s="11"/>
      <c r="C710" s="11"/>
      <c r="D710" s="11"/>
    </row>
    <row r="711">
      <c r="B711" s="11"/>
      <c r="C711" s="11"/>
      <c r="D711" s="11"/>
    </row>
    <row r="712">
      <c r="B712" s="11"/>
      <c r="C712" s="11"/>
      <c r="D712" s="11"/>
    </row>
    <row r="713">
      <c r="B713" s="11"/>
      <c r="C713" s="11"/>
      <c r="D713" s="11"/>
    </row>
    <row r="714">
      <c r="B714" s="11"/>
      <c r="C714" s="11"/>
      <c r="D714" s="11"/>
    </row>
    <row r="715">
      <c r="B715" s="11"/>
      <c r="C715" s="11"/>
      <c r="D715" s="11"/>
    </row>
    <row r="716">
      <c r="B716" s="11"/>
      <c r="C716" s="11"/>
      <c r="D716" s="11"/>
    </row>
    <row r="717">
      <c r="B717" s="11"/>
      <c r="C717" s="11"/>
      <c r="D717" s="11"/>
    </row>
    <row r="718">
      <c r="B718" s="11"/>
      <c r="C718" s="11"/>
      <c r="D718" s="11"/>
    </row>
    <row r="719">
      <c r="B719" s="11"/>
      <c r="C719" s="11"/>
      <c r="D719" s="11"/>
    </row>
    <row r="720">
      <c r="B720" s="11"/>
      <c r="C720" s="11"/>
      <c r="D720" s="11"/>
    </row>
    <row r="721">
      <c r="B721" s="11"/>
      <c r="C721" s="11"/>
      <c r="D721" s="11"/>
    </row>
    <row r="722">
      <c r="B722" s="11"/>
      <c r="C722" s="11"/>
      <c r="D722" s="11"/>
    </row>
    <row r="723">
      <c r="B723" s="11"/>
      <c r="C723" s="11"/>
      <c r="D723" s="11"/>
    </row>
    <row r="724">
      <c r="B724" s="11"/>
      <c r="C724" s="11"/>
      <c r="D724" s="11"/>
    </row>
    <row r="725">
      <c r="B725" s="11"/>
      <c r="C725" s="11"/>
      <c r="D725" s="11"/>
    </row>
    <row r="726">
      <c r="B726" s="11"/>
      <c r="C726" s="11"/>
      <c r="D726" s="11"/>
    </row>
    <row r="727">
      <c r="B727" s="11"/>
      <c r="C727" s="11"/>
      <c r="D727" s="11"/>
    </row>
    <row r="728">
      <c r="B728" s="11"/>
      <c r="C728" s="11"/>
      <c r="D728" s="11"/>
    </row>
    <row r="729">
      <c r="B729" s="11"/>
      <c r="C729" s="11"/>
      <c r="D729" s="11"/>
    </row>
    <row r="730">
      <c r="B730" s="11"/>
      <c r="C730" s="11"/>
      <c r="D730" s="11"/>
    </row>
    <row r="731">
      <c r="B731" s="11"/>
      <c r="C731" s="11"/>
      <c r="D731" s="11"/>
    </row>
    <row r="732">
      <c r="B732" s="11"/>
      <c r="C732" s="11"/>
      <c r="D732" s="11"/>
    </row>
    <row r="733">
      <c r="B733" s="11"/>
      <c r="C733" s="11"/>
      <c r="D733" s="11"/>
    </row>
    <row r="734">
      <c r="B734" s="11"/>
      <c r="C734" s="11"/>
      <c r="D734" s="11"/>
    </row>
    <row r="735">
      <c r="B735" s="11"/>
      <c r="C735" s="11"/>
      <c r="D735" s="11"/>
    </row>
    <row r="736">
      <c r="B736" s="11"/>
      <c r="C736" s="11"/>
      <c r="D736" s="11"/>
    </row>
    <row r="737">
      <c r="B737" s="11"/>
      <c r="C737" s="11"/>
      <c r="D737" s="11"/>
    </row>
    <row r="738">
      <c r="B738" s="11"/>
      <c r="C738" s="11"/>
      <c r="D738" s="11"/>
    </row>
    <row r="739">
      <c r="B739" s="11"/>
      <c r="C739" s="11"/>
      <c r="D739" s="11"/>
    </row>
    <row r="740">
      <c r="B740" s="11"/>
      <c r="C740" s="11"/>
      <c r="D740" s="11"/>
    </row>
    <row r="741">
      <c r="B741" s="11"/>
      <c r="C741" s="11"/>
      <c r="D741" s="11"/>
    </row>
    <row r="742">
      <c r="B742" s="11"/>
      <c r="C742" s="11"/>
      <c r="D742" s="11"/>
    </row>
    <row r="743">
      <c r="B743" s="11"/>
      <c r="C743" s="11"/>
      <c r="D743" s="11"/>
    </row>
    <row r="744">
      <c r="B744" s="11"/>
      <c r="C744" s="11"/>
      <c r="D744" s="11"/>
    </row>
    <row r="745">
      <c r="B745" s="11"/>
      <c r="C745" s="11"/>
      <c r="D745" s="11"/>
    </row>
    <row r="746">
      <c r="B746" s="11"/>
      <c r="C746" s="11"/>
      <c r="D746" s="11"/>
    </row>
    <row r="747">
      <c r="B747" s="11"/>
      <c r="C747" s="11"/>
      <c r="D747" s="11"/>
    </row>
    <row r="748">
      <c r="B748" s="11"/>
      <c r="C748" s="11"/>
      <c r="D748" s="11"/>
    </row>
    <row r="749">
      <c r="B749" s="11"/>
      <c r="C749" s="11"/>
      <c r="D749" s="11"/>
    </row>
    <row r="750">
      <c r="B750" s="11"/>
      <c r="C750" s="11"/>
      <c r="D750" s="11"/>
    </row>
    <row r="751">
      <c r="B751" s="11"/>
      <c r="C751" s="11"/>
      <c r="D751" s="11"/>
    </row>
    <row r="752">
      <c r="B752" s="11"/>
      <c r="C752" s="11"/>
      <c r="D752" s="11"/>
    </row>
    <row r="753">
      <c r="B753" s="11"/>
      <c r="C753" s="11"/>
      <c r="D753" s="11"/>
    </row>
    <row r="754">
      <c r="B754" s="11"/>
      <c r="C754" s="11"/>
      <c r="D754" s="11"/>
    </row>
    <row r="755">
      <c r="B755" s="11"/>
      <c r="C755" s="11"/>
      <c r="D755" s="11"/>
    </row>
    <row r="756">
      <c r="B756" s="11"/>
      <c r="C756" s="11"/>
      <c r="D756" s="11"/>
    </row>
    <row r="757">
      <c r="B757" s="11"/>
      <c r="C757" s="11"/>
      <c r="D757" s="11"/>
    </row>
    <row r="758">
      <c r="B758" s="11"/>
      <c r="C758" s="11"/>
      <c r="D758" s="11"/>
    </row>
    <row r="759">
      <c r="B759" s="11"/>
      <c r="C759" s="11"/>
      <c r="D759" s="11"/>
    </row>
    <row r="760">
      <c r="B760" s="11"/>
      <c r="C760" s="11"/>
      <c r="D760" s="11"/>
    </row>
    <row r="761">
      <c r="B761" s="11"/>
      <c r="C761" s="11"/>
      <c r="D761" s="11"/>
    </row>
    <row r="762">
      <c r="B762" s="11"/>
      <c r="C762" s="11"/>
      <c r="D762" s="11"/>
    </row>
    <row r="763">
      <c r="B763" s="11"/>
      <c r="C763" s="11"/>
      <c r="D763" s="11"/>
    </row>
    <row r="764">
      <c r="B764" s="11"/>
      <c r="C764" s="11"/>
      <c r="D764" s="11"/>
    </row>
    <row r="765">
      <c r="B765" s="11"/>
      <c r="C765" s="11"/>
      <c r="D765" s="11"/>
    </row>
    <row r="766">
      <c r="B766" s="11"/>
      <c r="C766" s="11"/>
      <c r="D766" s="11"/>
    </row>
    <row r="767">
      <c r="B767" s="11"/>
      <c r="C767" s="11"/>
      <c r="D767" s="11"/>
    </row>
    <row r="768">
      <c r="B768" s="11"/>
      <c r="C768" s="11"/>
      <c r="D768" s="11"/>
    </row>
    <row r="769">
      <c r="B769" s="11"/>
      <c r="C769" s="11"/>
      <c r="D769" s="11"/>
    </row>
    <row r="770">
      <c r="B770" s="11"/>
      <c r="C770" s="11"/>
      <c r="D770" s="11"/>
    </row>
    <row r="771">
      <c r="B771" s="11"/>
      <c r="C771" s="11"/>
      <c r="D771" s="11"/>
    </row>
    <row r="772">
      <c r="B772" s="11"/>
      <c r="C772" s="11"/>
      <c r="D772" s="11"/>
    </row>
    <row r="773">
      <c r="B773" s="11"/>
      <c r="C773" s="11"/>
      <c r="D773" s="11"/>
    </row>
    <row r="774">
      <c r="B774" s="11"/>
      <c r="C774" s="11"/>
      <c r="D774" s="11"/>
    </row>
    <row r="775">
      <c r="B775" s="11"/>
      <c r="C775" s="11"/>
      <c r="D775" s="11"/>
    </row>
    <row r="776">
      <c r="B776" s="11"/>
      <c r="C776" s="11"/>
      <c r="D776" s="11"/>
    </row>
    <row r="777">
      <c r="B777" s="11"/>
      <c r="C777" s="11"/>
      <c r="D777" s="11"/>
    </row>
    <row r="778">
      <c r="B778" s="11"/>
      <c r="C778" s="11"/>
      <c r="D778" s="11"/>
    </row>
    <row r="779">
      <c r="B779" s="11"/>
      <c r="C779" s="11"/>
      <c r="D779" s="11"/>
    </row>
    <row r="780">
      <c r="B780" s="11"/>
      <c r="C780" s="11"/>
      <c r="D780" s="11"/>
    </row>
    <row r="781">
      <c r="B781" s="11"/>
      <c r="C781" s="11"/>
      <c r="D781" s="11"/>
    </row>
    <row r="782">
      <c r="B782" s="11"/>
      <c r="C782" s="11"/>
      <c r="D782" s="11"/>
    </row>
    <row r="783">
      <c r="B783" s="11"/>
      <c r="C783" s="11"/>
      <c r="D783" s="11"/>
    </row>
    <row r="784">
      <c r="B784" s="11"/>
      <c r="C784" s="11"/>
      <c r="D784" s="11"/>
    </row>
    <row r="785">
      <c r="B785" s="11"/>
      <c r="C785" s="11"/>
      <c r="D785" s="11"/>
    </row>
    <row r="786">
      <c r="B786" s="11"/>
      <c r="C786" s="11"/>
      <c r="D786" s="11"/>
    </row>
    <row r="787">
      <c r="B787" s="11"/>
      <c r="C787" s="11"/>
      <c r="D787" s="11"/>
    </row>
    <row r="788">
      <c r="B788" s="11"/>
      <c r="C788" s="11"/>
      <c r="D788" s="11"/>
    </row>
    <row r="789">
      <c r="B789" s="11"/>
      <c r="C789" s="11"/>
      <c r="D789" s="11"/>
    </row>
    <row r="790">
      <c r="B790" s="11"/>
      <c r="C790" s="11"/>
      <c r="D790" s="11"/>
    </row>
    <row r="791">
      <c r="B791" s="11"/>
      <c r="C791" s="11"/>
      <c r="D791" s="11"/>
    </row>
    <row r="792">
      <c r="B792" s="11"/>
      <c r="C792" s="11"/>
      <c r="D792" s="11"/>
    </row>
    <row r="793">
      <c r="B793" s="11"/>
      <c r="C793" s="11"/>
      <c r="D793" s="11"/>
    </row>
    <row r="794">
      <c r="B794" s="11"/>
      <c r="C794" s="11"/>
      <c r="D794" s="11"/>
    </row>
    <row r="795">
      <c r="B795" s="11"/>
      <c r="C795" s="11"/>
      <c r="D795" s="11"/>
    </row>
    <row r="796">
      <c r="B796" s="11"/>
      <c r="C796" s="11"/>
      <c r="D796" s="11"/>
    </row>
    <row r="797">
      <c r="B797" s="11"/>
      <c r="C797" s="11"/>
      <c r="D797" s="11"/>
    </row>
    <row r="798">
      <c r="B798" s="11"/>
      <c r="C798" s="11"/>
      <c r="D798" s="11"/>
    </row>
    <row r="799">
      <c r="B799" s="11"/>
      <c r="C799" s="11"/>
      <c r="D799" s="11"/>
    </row>
    <row r="800">
      <c r="B800" s="11"/>
      <c r="C800" s="11"/>
      <c r="D800" s="11"/>
    </row>
    <row r="801">
      <c r="B801" s="11"/>
      <c r="C801" s="11"/>
      <c r="D801" s="11"/>
    </row>
    <row r="802">
      <c r="B802" s="11"/>
      <c r="C802" s="11"/>
      <c r="D802" s="11"/>
    </row>
    <row r="803">
      <c r="B803" s="11"/>
      <c r="C803" s="11"/>
      <c r="D803" s="11"/>
    </row>
    <row r="804">
      <c r="B804" s="11"/>
      <c r="C804" s="11"/>
      <c r="D804" s="11"/>
    </row>
    <row r="805">
      <c r="B805" s="11"/>
      <c r="C805" s="11"/>
      <c r="D805" s="11"/>
    </row>
    <row r="806">
      <c r="B806" s="11"/>
      <c r="C806" s="11"/>
      <c r="D806" s="11"/>
    </row>
    <row r="807">
      <c r="B807" s="11"/>
      <c r="C807" s="11"/>
      <c r="D807" s="11"/>
    </row>
    <row r="808">
      <c r="B808" s="11"/>
      <c r="C808" s="11"/>
      <c r="D808" s="11"/>
    </row>
    <row r="809">
      <c r="B809" s="11"/>
      <c r="C809" s="11"/>
      <c r="D809" s="11"/>
    </row>
    <row r="810">
      <c r="B810" s="11"/>
      <c r="C810" s="11"/>
      <c r="D810" s="11"/>
    </row>
    <row r="811">
      <c r="B811" s="11"/>
      <c r="C811" s="11"/>
      <c r="D811" s="11"/>
    </row>
    <row r="812">
      <c r="B812" s="11"/>
      <c r="C812" s="11"/>
      <c r="D812" s="11"/>
    </row>
    <row r="813">
      <c r="B813" s="11"/>
      <c r="C813" s="11"/>
      <c r="D813" s="11"/>
    </row>
    <row r="814">
      <c r="B814" s="11"/>
      <c r="C814" s="11"/>
      <c r="D814" s="11"/>
    </row>
    <row r="815">
      <c r="B815" s="11"/>
      <c r="C815" s="11"/>
      <c r="D815" s="11"/>
    </row>
    <row r="816">
      <c r="B816" s="11"/>
      <c r="C816" s="11"/>
      <c r="D816" s="11"/>
    </row>
    <row r="817">
      <c r="B817" s="11"/>
      <c r="C817" s="11"/>
      <c r="D817" s="11"/>
    </row>
    <row r="818">
      <c r="B818" s="11"/>
      <c r="C818" s="11"/>
      <c r="D818" s="11"/>
    </row>
    <row r="819">
      <c r="B819" s="11"/>
      <c r="C819" s="11"/>
      <c r="D819" s="11"/>
    </row>
    <row r="820">
      <c r="B820" s="11"/>
      <c r="C820" s="11"/>
      <c r="D820" s="11"/>
    </row>
    <row r="821">
      <c r="B821" s="11"/>
      <c r="C821" s="11"/>
      <c r="D821" s="11"/>
    </row>
    <row r="822">
      <c r="B822" s="11"/>
      <c r="C822" s="11"/>
      <c r="D822" s="11"/>
    </row>
    <row r="823">
      <c r="B823" s="11"/>
      <c r="C823" s="11"/>
      <c r="D823" s="11"/>
    </row>
    <row r="824">
      <c r="B824" s="11"/>
      <c r="C824" s="11"/>
      <c r="D824" s="11"/>
    </row>
    <row r="825">
      <c r="B825" s="11"/>
      <c r="C825" s="11"/>
      <c r="D825" s="11"/>
    </row>
    <row r="826">
      <c r="B826" s="11"/>
      <c r="C826" s="11"/>
      <c r="D826" s="11"/>
    </row>
    <row r="827">
      <c r="B827" s="11"/>
      <c r="C827" s="11"/>
      <c r="D827" s="11"/>
    </row>
    <row r="828">
      <c r="B828" s="11"/>
      <c r="C828" s="11"/>
      <c r="D828" s="11"/>
    </row>
    <row r="829">
      <c r="B829" s="11"/>
      <c r="C829" s="11"/>
      <c r="D829" s="11"/>
    </row>
    <row r="830">
      <c r="B830" s="11"/>
      <c r="C830" s="11"/>
      <c r="D830" s="11"/>
    </row>
    <row r="831">
      <c r="B831" s="11"/>
      <c r="C831" s="11"/>
      <c r="D831" s="11"/>
    </row>
    <row r="832">
      <c r="B832" s="11"/>
      <c r="C832" s="11"/>
      <c r="D832" s="11"/>
    </row>
    <row r="833">
      <c r="B833" s="11"/>
      <c r="C833" s="11"/>
      <c r="D833" s="11"/>
    </row>
    <row r="834">
      <c r="B834" s="11"/>
      <c r="C834" s="11"/>
      <c r="D834" s="11"/>
    </row>
    <row r="835">
      <c r="B835" s="11"/>
      <c r="C835" s="11"/>
      <c r="D835" s="11"/>
    </row>
    <row r="836">
      <c r="B836" s="11"/>
      <c r="C836" s="11"/>
      <c r="D836" s="11"/>
    </row>
    <row r="837">
      <c r="B837" s="11"/>
      <c r="C837" s="11"/>
      <c r="D837" s="11"/>
    </row>
    <row r="838">
      <c r="B838" s="11"/>
      <c r="C838" s="11"/>
      <c r="D838" s="11"/>
    </row>
    <row r="839">
      <c r="B839" s="11"/>
      <c r="C839" s="11"/>
      <c r="D839" s="11"/>
    </row>
    <row r="840">
      <c r="B840" s="11"/>
      <c r="C840" s="11"/>
      <c r="D840" s="11"/>
    </row>
    <row r="841">
      <c r="B841" s="11"/>
      <c r="C841" s="11"/>
      <c r="D841" s="11"/>
    </row>
    <row r="842">
      <c r="B842" s="11"/>
      <c r="C842" s="11"/>
      <c r="D842" s="11"/>
    </row>
    <row r="843">
      <c r="B843" s="11"/>
      <c r="C843" s="11"/>
      <c r="D843" s="11"/>
    </row>
    <row r="844">
      <c r="B844" s="11"/>
      <c r="C844" s="11"/>
      <c r="D844" s="11"/>
    </row>
    <row r="845">
      <c r="B845" s="11"/>
      <c r="C845" s="11"/>
      <c r="D845" s="11"/>
    </row>
    <row r="846">
      <c r="B846" s="11"/>
      <c r="C846" s="11"/>
      <c r="D846" s="11"/>
    </row>
    <row r="847">
      <c r="B847" s="11"/>
      <c r="C847" s="11"/>
      <c r="D847" s="11"/>
    </row>
    <row r="848">
      <c r="B848" s="11"/>
      <c r="C848" s="11"/>
      <c r="D848" s="11"/>
    </row>
    <row r="849">
      <c r="B849" s="11"/>
      <c r="C849" s="11"/>
      <c r="D849" s="11"/>
    </row>
    <row r="850">
      <c r="B850" s="11"/>
      <c r="C850" s="11"/>
      <c r="D850" s="11"/>
    </row>
    <row r="851">
      <c r="B851" s="11"/>
      <c r="C851" s="11"/>
      <c r="D851" s="11"/>
    </row>
    <row r="852">
      <c r="B852" s="11"/>
      <c r="C852" s="11"/>
      <c r="D852" s="11"/>
    </row>
    <row r="853">
      <c r="B853" s="11"/>
      <c r="C853" s="11"/>
      <c r="D853" s="11"/>
    </row>
    <row r="854">
      <c r="B854" s="11"/>
      <c r="C854" s="11"/>
      <c r="D854" s="11"/>
    </row>
    <row r="855">
      <c r="B855" s="11"/>
      <c r="C855" s="11"/>
      <c r="D855" s="11"/>
    </row>
    <row r="856">
      <c r="B856" s="11"/>
      <c r="C856" s="11"/>
      <c r="D856" s="11"/>
    </row>
    <row r="857">
      <c r="B857" s="11"/>
      <c r="C857" s="11"/>
      <c r="D857" s="11"/>
    </row>
    <row r="858">
      <c r="B858" s="11"/>
      <c r="C858" s="11"/>
      <c r="D858" s="11"/>
    </row>
    <row r="859">
      <c r="B859" s="11"/>
      <c r="C859" s="11"/>
      <c r="D859" s="11"/>
    </row>
    <row r="860">
      <c r="B860" s="11"/>
      <c r="C860" s="11"/>
      <c r="D860" s="11"/>
    </row>
    <row r="861">
      <c r="B861" s="11"/>
      <c r="C861" s="11"/>
      <c r="D861" s="11"/>
    </row>
    <row r="862">
      <c r="B862" s="11"/>
      <c r="C862" s="11"/>
      <c r="D862" s="11"/>
    </row>
    <row r="863">
      <c r="B863" s="11"/>
      <c r="C863" s="11"/>
      <c r="D863" s="11"/>
    </row>
    <row r="864">
      <c r="B864" s="11"/>
      <c r="C864" s="11"/>
      <c r="D864" s="11"/>
    </row>
    <row r="865">
      <c r="B865" s="11"/>
      <c r="C865" s="11"/>
      <c r="D865" s="11"/>
    </row>
    <row r="866">
      <c r="B866" s="11"/>
      <c r="C866" s="11"/>
      <c r="D866" s="11"/>
    </row>
    <row r="867">
      <c r="B867" s="11"/>
      <c r="C867" s="11"/>
      <c r="D867" s="11"/>
    </row>
    <row r="868">
      <c r="B868" s="11"/>
      <c r="C868" s="11"/>
      <c r="D868" s="11"/>
    </row>
    <row r="869">
      <c r="B869" s="11"/>
      <c r="C869" s="11"/>
      <c r="D869" s="11"/>
    </row>
    <row r="870">
      <c r="B870" s="11"/>
      <c r="C870" s="11"/>
      <c r="D870" s="11"/>
    </row>
    <row r="871">
      <c r="B871" s="11"/>
      <c r="C871" s="11"/>
      <c r="D871" s="11"/>
    </row>
    <row r="872">
      <c r="B872" s="11"/>
      <c r="C872" s="11"/>
      <c r="D872" s="11"/>
    </row>
    <row r="873">
      <c r="B873" s="11"/>
      <c r="C873" s="11"/>
      <c r="D873" s="11"/>
    </row>
    <row r="874">
      <c r="B874" s="11"/>
      <c r="C874" s="11"/>
      <c r="D874" s="11"/>
    </row>
    <row r="875">
      <c r="B875" s="11"/>
      <c r="C875" s="11"/>
      <c r="D875" s="11"/>
    </row>
    <row r="876">
      <c r="B876" s="11"/>
      <c r="C876" s="11"/>
      <c r="D876" s="11"/>
    </row>
    <row r="877">
      <c r="B877" s="11"/>
      <c r="C877" s="11"/>
      <c r="D877" s="11"/>
    </row>
    <row r="878">
      <c r="B878" s="11"/>
      <c r="C878" s="11"/>
      <c r="D878" s="11"/>
    </row>
    <row r="879">
      <c r="B879" s="11"/>
      <c r="C879" s="11"/>
      <c r="D879" s="11"/>
    </row>
    <row r="880">
      <c r="B880" s="11"/>
      <c r="C880" s="11"/>
      <c r="D880" s="11"/>
    </row>
    <row r="881">
      <c r="B881" s="11"/>
      <c r="C881" s="11"/>
      <c r="D881" s="11"/>
    </row>
    <row r="882">
      <c r="B882" s="11"/>
      <c r="C882" s="11"/>
      <c r="D882" s="11"/>
    </row>
    <row r="883">
      <c r="B883" s="11"/>
      <c r="C883" s="11"/>
      <c r="D883" s="11"/>
    </row>
    <row r="884">
      <c r="B884" s="11"/>
      <c r="C884" s="11"/>
      <c r="D884" s="11"/>
    </row>
    <row r="885">
      <c r="B885" s="11"/>
      <c r="C885" s="11"/>
      <c r="D885" s="11"/>
    </row>
    <row r="886">
      <c r="B886" s="11"/>
      <c r="C886" s="11"/>
      <c r="D886" s="11"/>
    </row>
    <row r="887">
      <c r="B887" s="11"/>
      <c r="C887" s="11"/>
      <c r="D887" s="11"/>
    </row>
    <row r="888">
      <c r="B888" s="11"/>
      <c r="C888" s="11"/>
      <c r="D888" s="11"/>
    </row>
    <row r="889">
      <c r="B889" s="11"/>
      <c r="C889" s="11"/>
      <c r="D889" s="11"/>
    </row>
    <row r="890">
      <c r="B890" s="11"/>
      <c r="C890" s="11"/>
      <c r="D890" s="11"/>
    </row>
    <row r="891">
      <c r="B891" s="11"/>
      <c r="C891" s="11"/>
      <c r="D891" s="11"/>
    </row>
    <row r="892">
      <c r="B892" s="11"/>
      <c r="C892" s="11"/>
      <c r="D892" s="11"/>
    </row>
    <row r="893">
      <c r="B893" s="11"/>
      <c r="C893" s="11"/>
      <c r="D893" s="11"/>
    </row>
    <row r="894">
      <c r="B894" s="11"/>
      <c r="C894" s="11"/>
      <c r="D894" s="11"/>
    </row>
    <row r="895">
      <c r="B895" s="11"/>
      <c r="C895" s="11"/>
      <c r="D895" s="11"/>
    </row>
    <row r="896">
      <c r="B896" s="11"/>
      <c r="C896" s="11"/>
      <c r="D896" s="11"/>
    </row>
    <row r="897">
      <c r="B897" s="11"/>
      <c r="C897" s="11"/>
      <c r="D897" s="11"/>
    </row>
    <row r="898">
      <c r="B898" s="11"/>
      <c r="C898" s="11"/>
      <c r="D898" s="11"/>
    </row>
    <row r="899">
      <c r="B899" s="11"/>
      <c r="C899" s="11"/>
      <c r="D899" s="11"/>
    </row>
    <row r="900">
      <c r="B900" s="11"/>
      <c r="C900" s="11"/>
      <c r="D900" s="11"/>
    </row>
    <row r="901">
      <c r="B901" s="11"/>
      <c r="C901" s="11"/>
      <c r="D901" s="11"/>
    </row>
    <row r="902">
      <c r="B902" s="11"/>
      <c r="C902" s="11"/>
      <c r="D902" s="11"/>
    </row>
    <row r="903">
      <c r="B903" s="11"/>
      <c r="C903" s="11"/>
      <c r="D903" s="11"/>
    </row>
    <row r="904">
      <c r="B904" s="11"/>
      <c r="C904" s="11"/>
      <c r="D904" s="11"/>
    </row>
    <row r="905">
      <c r="B905" s="11"/>
      <c r="C905" s="11"/>
      <c r="D905" s="11"/>
    </row>
    <row r="906">
      <c r="B906" s="11"/>
      <c r="C906" s="11"/>
      <c r="D906" s="11"/>
    </row>
    <row r="907">
      <c r="B907" s="11"/>
      <c r="C907" s="11"/>
      <c r="D907" s="11"/>
    </row>
    <row r="908">
      <c r="B908" s="11"/>
      <c r="C908" s="11"/>
      <c r="D908" s="11"/>
    </row>
    <row r="909">
      <c r="B909" s="11"/>
      <c r="C909" s="11"/>
      <c r="D909" s="11"/>
    </row>
    <row r="910">
      <c r="B910" s="11"/>
      <c r="C910" s="11"/>
      <c r="D910" s="11"/>
    </row>
    <row r="911">
      <c r="B911" s="11"/>
      <c r="C911" s="11"/>
      <c r="D911" s="11"/>
    </row>
    <row r="912">
      <c r="B912" s="11"/>
      <c r="C912" s="11"/>
      <c r="D912" s="11"/>
    </row>
    <row r="913">
      <c r="B913" s="11"/>
      <c r="C913" s="11"/>
      <c r="D913" s="11"/>
    </row>
    <row r="914">
      <c r="B914" s="11"/>
      <c r="C914" s="11"/>
      <c r="D914" s="11"/>
    </row>
    <row r="915">
      <c r="B915" s="11"/>
      <c r="C915" s="11"/>
      <c r="D915" s="11"/>
    </row>
    <row r="916">
      <c r="B916" s="11"/>
      <c r="C916" s="11"/>
      <c r="D916" s="11"/>
    </row>
    <row r="917">
      <c r="B917" s="11"/>
      <c r="C917" s="11"/>
      <c r="D917" s="11"/>
    </row>
    <row r="918">
      <c r="B918" s="11"/>
      <c r="C918" s="11"/>
      <c r="D918" s="11"/>
    </row>
    <row r="919">
      <c r="B919" s="11"/>
      <c r="C919" s="11"/>
      <c r="D919" s="11"/>
    </row>
    <row r="920">
      <c r="B920" s="11"/>
      <c r="C920" s="11"/>
      <c r="D920" s="11"/>
    </row>
    <row r="921">
      <c r="B921" s="11"/>
      <c r="C921" s="11"/>
      <c r="D921" s="11"/>
    </row>
    <row r="922">
      <c r="B922" s="11"/>
      <c r="C922" s="11"/>
      <c r="D922" s="11"/>
    </row>
    <row r="923">
      <c r="B923" s="11"/>
      <c r="C923" s="11"/>
      <c r="D923" s="11"/>
    </row>
    <row r="924">
      <c r="B924" s="11"/>
      <c r="C924" s="11"/>
      <c r="D924" s="11"/>
    </row>
    <row r="925">
      <c r="B925" s="11"/>
      <c r="C925" s="11"/>
      <c r="D925" s="11"/>
    </row>
    <row r="926">
      <c r="B926" s="11"/>
      <c r="C926" s="11"/>
      <c r="D926" s="11"/>
    </row>
    <row r="927">
      <c r="B927" s="11"/>
      <c r="C927" s="11"/>
      <c r="D927" s="11"/>
    </row>
    <row r="928">
      <c r="B928" s="11"/>
      <c r="C928" s="11"/>
      <c r="D928" s="11"/>
    </row>
    <row r="929">
      <c r="B929" s="11"/>
      <c r="C929" s="11"/>
      <c r="D929" s="11"/>
    </row>
    <row r="930">
      <c r="B930" s="11"/>
      <c r="C930" s="11"/>
      <c r="D930" s="11"/>
    </row>
    <row r="931">
      <c r="B931" s="11"/>
      <c r="C931" s="11"/>
      <c r="D931" s="11"/>
    </row>
    <row r="932">
      <c r="B932" s="11"/>
      <c r="C932" s="11"/>
      <c r="D932" s="11"/>
    </row>
    <row r="933">
      <c r="B933" s="11"/>
      <c r="C933" s="11"/>
      <c r="D933" s="11"/>
    </row>
    <row r="934">
      <c r="B934" s="11"/>
      <c r="C934" s="11"/>
      <c r="D934" s="11"/>
    </row>
    <row r="935">
      <c r="B935" s="11"/>
      <c r="C935" s="11"/>
      <c r="D935" s="11"/>
    </row>
    <row r="936">
      <c r="B936" s="11"/>
      <c r="C936" s="11"/>
      <c r="D936" s="11"/>
    </row>
    <row r="937">
      <c r="B937" s="11"/>
      <c r="C937" s="11"/>
      <c r="D937" s="11"/>
    </row>
    <row r="938">
      <c r="B938" s="11"/>
      <c r="C938" s="11"/>
      <c r="D938" s="11"/>
    </row>
    <row r="939">
      <c r="B939" s="11"/>
      <c r="C939" s="11"/>
      <c r="D939" s="11"/>
    </row>
    <row r="940">
      <c r="B940" s="11"/>
      <c r="C940" s="11"/>
      <c r="D940" s="11"/>
    </row>
    <row r="941">
      <c r="B941" s="11"/>
      <c r="C941" s="11"/>
      <c r="D941" s="11"/>
    </row>
    <row r="942">
      <c r="B942" s="11"/>
      <c r="C942" s="11"/>
      <c r="D942" s="11"/>
    </row>
    <row r="943">
      <c r="B943" s="11"/>
      <c r="C943" s="11"/>
      <c r="D943" s="11"/>
    </row>
    <row r="944">
      <c r="B944" s="11"/>
      <c r="C944" s="11"/>
      <c r="D944" s="11"/>
    </row>
    <row r="945">
      <c r="B945" s="11"/>
      <c r="C945" s="11"/>
      <c r="D945" s="11"/>
    </row>
    <row r="946">
      <c r="B946" s="11"/>
      <c r="C946" s="11"/>
      <c r="D946" s="11"/>
    </row>
    <row r="947">
      <c r="B947" s="11"/>
      <c r="C947" s="11"/>
      <c r="D947" s="11"/>
    </row>
    <row r="948">
      <c r="B948" s="11"/>
      <c r="C948" s="11"/>
      <c r="D948" s="11"/>
    </row>
    <row r="949">
      <c r="B949" s="11"/>
      <c r="C949" s="11"/>
      <c r="D949" s="11"/>
    </row>
    <row r="950">
      <c r="B950" s="11"/>
      <c r="C950" s="11"/>
      <c r="D950" s="11"/>
    </row>
    <row r="951">
      <c r="B951" s="11"/>
      <c r="C951" s="11"/>
      <c r="D951" s="11"/>
    </row>
    <row r="952">
      <c r="B952" s="11"/>
      <c r="C952" s="11"/>
      <c r="D952" s="11"/>
    </row>
    <row r="953">
      <c r="B953" s="11"/>
      <c r="C953" s="11"/>
      <c r="D953" s="11"/>
    </row>
    <row r="954">
      <c r="B954" s="11"/>
      <c r="C954" s="11"/>
      <c r="D954" s="11"/>
    </row>
    <row r="955">
      <c r="B955" s="11"/>
      <c r="C955" s="11"/>
      <c r="D955" s="11"/>
    </row>
    <row r="956">
      <c r="B956" s="11"/>
      <c r="C956" s="11"/>
      <c r="D956" s="11"/>
    </row>
    <row r="957">
      <c r="B957" s="11"/>
      <c r="C957" s="11"/>
      <c r="D957" s="11"/>
    </row>
    <row r="958">
      <c r="B958" s="11"/>
      <c r="C958" s="11"/>
      <c r="D958" s="11"/>
    </row>
    <row r="959">
      <c r="B959" s="11"/>
      <c r="C959" s="11"/>
      <c r="D959" s="11"/>
    </row>
    <row r="960">
      <c r="B960" s="11"/>
      <c r="C960" s="11"/>
      <c r="D960" s="11"/>
    </row>
    <row r="961">
      <c r="B961" s="11"/>
      <c r="C961" s="11"/>
      <c r="D961" s="11"/>
    </row>
    <row r="962">
      <c r="B962" s="11"/>
      <c r="C962" s="11"/>
      <c r="D962" s="11"/>
    </row>
    <row r="963">
      <c r="B963" s="11"/>
      <c r="C963" s="11"/>
      <c r="D963" s="11"/>
    </row>
    <row r="964">
      <c r="B964" s="11"/>
      <c r="C964" s="11"/>
      <c r="D964" s="11"/>
    </row>
    <row r="965">
      <c r="B965" s="11"/>
      <c r="C965" s="11"/>
      <c r="D965" s="11"/>
    </row>
    <row r="966">
      <c r="B966" s="11"/>
      <c r="C966" s="11"/>
      <c r="D966" s="11"/>
    </row>
    <row r="967">
      <c r="B967" s="11"/>
      <c r="C967" s="11"/>
      <c r="D967" s="11"/>
    </row>
    <row r="968">
      <c r="B968" s="11"/>
      <c r="C968" s="11"/>
      <c r="D968" s="11"/>
    </row>
    <row r="969">
      <c r="B969" s="11"/>
      <c r="C969" s="11"/>
      <c r="D969" s="11"/>
    </row>
    <row r="970">
      <c r="B970" s="11"/>
      <c r="C970" s="11"/>
      <c r="D970" s="11"/>
    </row>
    <row r="971">
      <c r="B971" s="11"/>
      <c r="C971" s="11"/>
      <c r="D971" s="11"/>
    </row>
    <row r="972">
      <c r="B972" s="11"/>
      <c r="C972" s="11"/>
      <c r="D972" s="11"/>
    </row>
    <row r="973">
      <c r="B973" s="11"/>
      <c r="C973" s="11"/>
      <c r="D973" s="11"/>
    </row>
    <row r="974">
      <c r="B974" s="11"/>
      <c r="C974" s="11"/>
      <c r="D974" s="11"/>
    </row>
    <row r="975">
      <c r="B975" s="11"/>
      <c r="C975" s="11"/>
      <c r="D975" s="11"/>
    </row>
    <row r="976">
      <c r="B976" s="11"/>
      <c r="C976" s="11"/>
      <c r="D976" s="11"/>
    </row>
    <row r="977">
      <c r="B977" s="11"/>
      <c r="C977" s="11"/>
      <c r="D977" s="11"/>
    </row>
    <row r="978">
      <c r="B978" s="11"/>
      <c r="C978" s="11"/>
      <c r="D978" s="11"/>
    </row>
    <row r="979">
      <c r="B979" s="11"/>
      <c r="C979" s="11"/>
      <c r="D979" s="11"/>
    </row>
    <row r="980">
      <c r="B980" s="11"/>
      <c r="C980" s="11"/>
      <c r="D980" s="11"/>
    </row>
    <row r="981">
      <c r="B981" s="11"/>
      <c r="C981" s="11"/>
      <c r="D981" s="11"/>
    </row>
    <row r="982">
      <c r="B982" s="11"/>
      <c r="C982" s="11"/>
      <c r="D982" s="11"/>
    </row>
    <row r="983">
      <c r="B983" s="11"/>
      <c r="C983" s="11"/>
      <c r="D983" s="11"/>
    </row>
    <row r="984">
      <c r="B984" s="11"/>
      <c r="C984" s="11"/>
      <c r="D984" s="11"/>
    </row>
    <row r="985">
      <c r="B985" s="11"/>
      <c r="C985" s="11"/>
      <c r="D985" s="11"/>
    </row>
    <row r="986">
      <c r="B986" s="11"/>
      <c r="C986" s="11"/>
      <c r="D986" s="11"/>
    </row>
    <row r="987">
      <c r="B987" s="11"/>
      <c r="C987" s="11"/>
      <c r="D987" s="11"/>
    </row>
    <row r="988">
      <c r="B988" s="11"/>
      <c r="C988" s="11"/>
      <c r="D988" s="11"/>
    </row>
    <row r="989">
      <c r="B989" s="11"/>
      <c r="C989" s="11"/>
      <c r="D989" s="11"/>
    </row>
    <row r="990">
      <c r="B990" s="11"/>
      <c r="C990" s="11"/>
      <c r="D990" s="11"/>
    </row>
    <row r="991">
      <c r="B991" s="11"/>
      <c r="C991" s="11"/>
      <c r="D991" s="11"/>
    </row>
    <row r="992">
      <c r="B992" s="11"/>
      <c r="C992" s="11"/>
      <c r="D992" s="11"/>
    </row>
    <row r="993">
      <c r="B993" s="11"/>
      <c r="C993" s="11"/>
      <c r="D993" s="11"/>
    </row>
    <row r="994">
      <c r="B994" s="11"/>
      <c r="C994" s="11"/>
      <c r="D994" s="11"/>
    </row>
    <row r="995">
      <c r="B995" s="11"/>
      <c r="C995" s="11"/>
      <c r="D995" s="11"/>
    </row>
    <row r="996">
      <c r="B996" s="11"/>
      <c r="C996" s="11"/>
      <c r="D996" s="11"/>
    </row>
    <row r="997">
      <c r="B997" s="11"/>
      <c r="C997" s="11"/>
      <c r="D997" s="11"/>
    </row>
    <row r="998">
      <c r="B998" s="11"/>
      <c r="C998" s="11"/>
      <c r="D998" s="11"/>
    </row>
    <row r="999">
      <c r="B999" s="11"/>
      <c r="C999" s="11"/>
      <c r="D999" s="11"/>
    </row>
    <row r="1000">
      <c r="B1000" s="11"/>
      <c r="C1000" s="11"/>
      <c r="D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259</v>
      </c>
      <c r="B1" s="12" t="s">
        <v>260</v>
      </c>
      <c r="C1" s="12" t="s">
        <v>98</v>
      </c>
      <c r="D1" s="12" t="s">
        <v>83</v>
      </c>
      <c r="E1" s="12" t="s">
        <v>84</v>
      </c>
      <c r="I1" s="7" t="s">
        <v>261</v>
      </c>
    </row>
    <row r="2">
      <c r="A2" s="13">
        <v>1.0</v>
      </c>
      <c r="B2" s="7" t="s">
        <v>262</v>
      </c>
      <c r="C2" s="7">
        <v>1.0</v>
      </c>
      <c r="D2" s="7">
        <v>1.0</v>
      </c>
      <c r="E2" s="7">
        <v>1.0</v>
      </c>
      <c r="I2" s="9">
        <f>AVERAGE('Form Responses 1'!E2:H2)</f>
        <v>2</v>
      </c>
    </row>
    <row r="3">
      <c r="A3" s="11"/>
      <c r="B3" s="7" t="s">
        <v>263</v>
      </c>
      <c r="C3" s="7">
        <v>2.0</v>
      </c>
      <c r="D3" s="7">
        <v>3.0</v>
      </c>
      <c r="E3" s="7">
        <v>4.0</v>
      </c>
      <c r="I3" s="9">
        <f>AVERAGE('Form Responses 1'!E3:H3)</f>
        <v>3.5</v>
      </c>
    </row>
    <row r="4">
      <c r="A4" s="11"/>
      <c r="B4" s="7" t="s">
        <v>264</v>
      </c>
      <c r="C4" s="7">
        <v>5.0</v>
      </c>
      <c r="D4" s="7">
        <v>3.0</v>
      </c>
      <c r="E4" s="7">
        <v>1.0</v>
      </c>
      <c r="I4" s="9">
        <f>AVERAGE('Form Responses 1'!E4:H4)</f>
        <v>4</v>
      </c>
    </row>
    <row r="5">
      <c r="A5" s="11"/>
      <c r="I5" s="9">
        <f>AVERAGE('Form Responses 1'!E5:H5)</f>
        <v>5</v>
      </c>
    </row>
    <row r="6">
      <c r="A6" s="11"/>
      <c r="I6" s="9">
        <f>AVERAGE('Form Responses 1'!E6:H6)</f>
        <v>3.75</v>
      </c>
    </row>
    <row r="7">
      <c r="A7" s="13">
        <v>2.0</v>
      </c>
      <c r="B7" s="7" t="s">
        <v>262</v>
      </c>
      <c r="C7" s="7">
        <v>5.0</v>
      </c>
      <c r="D7" s="7">
        <v>1.5</v>
      </c>
      <c r="E7" s="7">
        <v>2.0</v>
      </c>
      <c r="I7" s="9">
        <f>AVERAGE('Form Responses 1'!E7:H7)</f>
        <v>4.5</v>
      </c>
    </row>
    <row r="8">
      <c r="A8" s="11"/>
      <c r="B8" s="7" t="s">
        <v>263</v>
      </c>
      <c r="C8" s="7">
        <v>2.25</v>
      </c>
      <c r="D8" s="7">
        <v>5.0</v>
      </c>
      <c r="E8" s="7">
        <v>1.25</v>
      </c>
      <c r="I8" s="9">
        <f>AVERAGE('Form Responses 1'!E8:H8)</f>
        <v>3.25</v>
      </c>
    </row>
    <row r="9">
      <c r="A9" s="11"/>
      <c r="B9" s="7" t="s">
        <v>264</v>
      </c>
      <c r="C9" s="7">
        <v>1.0</v>
      </c>
      <c r="D9" s="7">
        <v>1.25</v>
      </c>
      <c r="E9" s="7">
        <v>5.0</v>
      </c>
      <c r="I9" s="9">
        <f>AVERAGE('Form Responses 1'!E9:H9)</f>
        <v>3</v>
      </c>
    </row>
    <row r="10">
      <c r="A10" s="11"/>
      <c r="I10" s="9">
        <f>AVERAGE('Form Responses 1'!E10:H10)</f>
        <v>2.5</v>
      </c>
    </row>
    <row r="11">
      <c r="A11" s="11"/>
      <c r="I11" s="9">
        <f>AVERAGE('Form Responses 1'!E11:H11)</f>
        <v>4</v>
      </c>
    </row>
    <row r="12">
      <c r="A12" s="13">
        <v>3.0</v>
      </c>
      <c r="B12" s="7" t="s">
        <v>262</v>
      </c>
      <c r="C12" s="7">
        <v>4.0</v>
      </c>
      <c r="D12" s="7">
        <v>2.0</v>
      </c>
      <c r="E12" s="7">
        <v>1.0</v>
      </c>
      <c r="I12" s="9">
        <f>AVERAGE('Form Responses 1'!E12:H12)</f>
        <v>4.25</v>
      </c>
    </row>
    <row r="13">
      <c r="A13" s="11"/>
      <c r="B13" s="7" t="s">
        <v>263</v>
      </c>
      <c r="C13" s="7">
        <v>2.5</v>
      </c>
      <c r="D13" s="7">
        <v>4.75</v>
      </c>
      <c r="E13" s="7">
        <v>2.0</v>
      </c>
      <c r="I13" s="9">
        <f>AVERAGE('Form Responses 1'!E13:H13)</f>
        <v>2.75</v>
      </c>
    </row>
    <row r="14">
      <c r="A14" s="11"/>
      <c r="B14" s="7" t="s">
        <v>264</v>
      </c>
      <c r="C14" s="7">
        <v>3.0</v>
      </c>
      <c r="D14" s="7">
        <v>3.0</v>
      </c>
      <c r="E14" s="7">
        <v>4.5</v>
      </c>
      <c r="I14" s="9">
        <f>AVERAGE('Form Responses 1'!E14:H14)</f>
        <v>3.75</v>
      </c>
    </row>
    <row r="15">
      <c r="A15" s="11"/>
      <c r="I15" s="9">
        <f>AVERAGE('Form Responses 1'!E15:H15)</f>
        <v>5</v>
      </c>
    </row>
    <row r="16">
      <c r="A16" s="11"/>
      <c r="I16" s="9">
        <f>AVERAGE('Form Responses 1'!E16:H16)</f>
        <v>1.75</v>
      </c>
    </row>
    <row r="17">
      <c r="A17" s="13">
        <v>4.0</v>
      </c>
      <c r="B17" s="7" t="s">
        <v>262</v>
      </c>
      <c r="C17" s="7">
        <v>3.6</v>
      </c>
      <c r="D17" s="7">
        <v>2.5</v>
      </c>
      <c r="E17" s="7">
        <v>1.2</v>
      </c>
      <c r="I17" s="9">
        <f>AVERAGE('Form Responses 1'!E17:H17)</f>
        <v>3.5</v>
      </c>
    </row>
    <row r="18">
      <c r="A18" s="11"/>
      <c r="B18" s="7" t="s">
        <v>263</v>
      </c>
      <c r="C18" s="7">
        <v>1.0</v>
      </c>
      <c r="D18" s="7">
        <v>4.8</v>
      </c>
      <c r="E18" s="7">
        <v>2.0</v>
      </c>
      <c r="I18" s="9">
        <f>AVERAGE('Form Responses 1'!E18:H18)</f>
        <v>3.25</v>
      </c>
    </row>
    <row r="19">
      <c r="A19" s="11"/>
      <c r="B19" s="7" t="s">
        <v>264</v>
      </c>
      <c r="C19" s="7">
        <v>3.7</v>
      </c>
      <c r="D19" s="7">
        <v>3.6</v>
      </c>
      <c r="E19" s="7">
        <v>4.1</v>
      </c>
      <c r="I19" s="9">
        <f>AVERAGE('Form Responses 1'!E19:H19)</f>
        <v>4</v>
      </c>
    </row>
    <row r="20">
      <c r="I20" s="9">
        <f>AVERAGE('Form Responses 1'!E20:H20)</f>
        <v>1.75</v>
      </c>
    </row>
  </sheetData>
  <drawing r:id="rId1"/>
</worksheet>
</file>